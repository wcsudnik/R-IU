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wcsudnik/Downloads/"/>
    </mc:Choice>
  </mc:AlternateContent>
  <xr:revisionPtr revIDLastSave="0" documentId="13_ncr:1_{7F6959D0-5384-7940-82FD-7EE6DF944D37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Parts List" sheetId="1" r:id="rId1"/>
  </sheets>
  <definedNames>
    <definedName name="_xlnm._FilterDatabase" localSheetId="0" hidden="1">'Parts List'!$A$1:$H$89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6" i="1" l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27" i="1" s="1"/>
  <c r="G106" i="1"/>
  <c r="G105" i="1"/>
  <c r="G104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91" i="1" s="1"/>
  <c r="G93" i="1" s="1"/>
  <c r="G95" i="1" s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<sst xmlns="http://schemas.openxmlformats.org/spreadsheetml/2006/main" count="495" uniqueCount="388">
  <si>
    <t>Assembly</t>
  </si>
  <si>
    <t>Part (short name)</t>
  </si>
  <si>
    <t>Description / Part #</t>
  </si>
  <si>
    <t>Link</t>
  </si>
  <si>
    <t>Unit Cost ($)</t>
  </si>
  <si>
    <t>Qty</t>
  </si>
  <si>
    <t>Total Cost ($)</t>
  </si>
  <si>
    <t>Notes</t>
  </si>
  <si>
    <t>Drive Wheel Assembly</t>
  </si>
  <si>
    <t>wheel</t>
  </si>
  <si>
    <t>Wasteland Wheel (144mm Diameter, 52mm Width)</t>
  </si>
  <si>
    <t>https://www.gobilda.com/wasteland-wheel-144mm-diameter-52mm-width/</t>
  </si>
  <si>
    <t>clamping mount</t>
  </si>
  <si>
    <t>1401 Series 2-Side, 2-Post Clamping Mount (43mm Width, 36mm Bore) - goBILDA</t>
  </si>
  <si>
    <t>https://www.gobilda.com/1401-series-2-side-2-post-clamping-mount-43mm-width-36mm-bore/</t>
  </si>
  <si>
    <t>motor</t>
  </si>
  <si>
    <t>5203 Series Yellow Jacket Planetary Gear Motor (26.9:1 Ratio, 24mm Length 8mm REX™ Shaft, 223 RPM, 3.3 - 5V Encoder)</t>
  </si>
  <si>
    <t>https://www.gobilda.com/5203-series-yellow-jacket-planetary-gear-motor-26-9-1-ratio-24mm-length-8mm-rex-shaft-223-rpm-3-3-5v-encoder/</t>
  </si>
  <si>
    <t>REX bore hub</t>
  </si>
  <si>
    <t>1310 Series Hyper Hub (8mm REX™ Bore)</t>
  </si>
  <si>
    <t>https://www.gobilda.com/1310-series-hyper-hub-8mm-rex-bore/</t>
  </si>
  <si>
    <t>2 Hole U channel</t>
  </si>
  <si>
    <t>1120 Series U-Channel (2 Hole, 72mm Length) - goBILDA</t>
  </si>
  <si>
    <t>https://www.gobilda.com/1120-series-u-channel-2-hole-72mm-length/</t>
  </si>
  <si>
    <t>Corner Assembly</t>
  </si>
  <si>
    <t>144mm goRail</t>
  </si>
  <si>
    <t>1109 Series goRAIL (144mm Length) - goBILDA</t>
  </si>
  <si>
    <t>https://www.gobilda.com/1109-series-gorail-144mm-length/</t>
  </si>
  <si>
    <t>4 Hole U channel</t>
  </si>
  <si>
    <t>1121 Series Low-Side U-Channel (4 Hole, 120mm Length) - goBILDA</t>
  </si>
  <si>
    <t>https://www.gobilda.com/1121-series-low-side-u-channel-4-hole-120mm-length/</t>
  </si>
  <si>
    <t>Rocker Bogie Assembly</t>
  </si>
  <si>
    <t>1hole uchannel</t>
  </si>
  <si>
    <t>1120 Series U-Channel (1 Hole, 48mm Length) - goBILDA</t>
  </si>
  <si>
    <t>https://www.gobilda.com/1120-series-u-channel-1-hole-48mm-length/</t>
  </si>
  <si>
    <t>servoblock</t>
  </si>
  <si>
    <t>ServoBlock™ (Standard Size, 25 Tooth Spline, Hub Shaft) - goBILDA</t>
  </si>
  <si>
    <t>https://www.gobilda.com/servoblock-standard-size-25-tooth-spline-hub-shaft/</t>
  </si>
  <si>
    <t>servo</t>
  </si>
  <si>
    <t>2000 Series Dual Mode Servo (25-2, Torque) - goBILDA</t>
  </si>
  <si>
    <t>https://www.gobilda.com/2000-series-dual-mode-servo-25-2-torque/</t>
  </si>
  <si>
    <t>8mm Sonic Hub</t>
  </si>
  <si>
    <t>1309 Series Sonic Hub (8mm Bore) - goBILDA</t>
  </si>
  <si>
    <t>https://www.gobilda.com/1309-series-sonic-hub-8mm-bore/</t>
  </si>
  <si>
    <t>flanged bearing 2pack</t>
  </si>
  <si>
    <t>1611 Series Flanged Ball Bearing (8mm ID x 14mm OD, 5mm Thickness) - 2 Pack - goBILDA</t>
  </si>
  <si>
    <t>https://www.gobilda.com/1611-series-flanged-ball-bearing-8mm-id-x-14mm-od-5mm-thickness-2-pack/</t>
  </si>
  <si>
    <t>joint pattern spacer</t>
  </si>
  <si>
    <t>1504 Series 32mm OD Pattern Spacer (2mm Length) - goBILDA</t>
  </si>
  <si>
    <t>https://www.gobilda.com/1504-series-32mm-od-pattern-spacer-2mm-length/</t>
  </si>
  <si>
    <t>joint 8mm shaft</t>
  </si>
  <si>
    <t>2100 Series Stainless Steel Round Shaft (8mm Diameter, 50mm Length)</t>
  </si>
  <si>
    <t>https://www.gobilda.com/2100-series-stainless-steel-round-shaft-8mm-diameter-50mm-length/</t>
  </si>
  <si>
    <t>joint 3hole flat beam 2pack</t>
  </si>
  <si>
    <t>1102 Series Flat Beam (3 Hole, 24mm Length) - 2 Pack - goBILDA</t>
  </si>
  <si>
    <t>https://www.gobilda.com/1102-series-flat-beam-3-hole-24mm-length-2-pack/</t>
  </si>
  <si>
    <t>joint pattern mount</t>
  </si>
  <si>
    <t>1221 Series 2-Side, 2-Post Pattern Mount (32-2) - goBILDA</t>
  </si>
  <si>
    <t>https://www.gobilda.com/1221-series-2-side-2-post-pattern-mount-32-2/</t>
  </si>
  <si>
    <t>steel flat bracket</t>
  </si>
  <si>
    <t>1126 Series Steel Flat Bracket (1-1) - 2 Pack - goBILDA</t>
  </si>
  <si>
    <t>https://www.gobilda.com/1126-series-steel-flat-bracket-1-1-2-pack/</t>
  </si>
  <si>
    <t>3x5 grid plate</t>
  </si>
  <si>
    <t>1116 Series Grid Plate (3 x 5 Hole, 24 x 40mm) - goBILDA</t>
  </si>
  <si>
    <t>https://www.gobilda.com/1116-series-grid-plate-3-x-5-hole-24-x-40mm/</t>
  </si>
  <si>
    <t>angle bracket</t>
  </si>
  <si>
    <t>1111 Series Angle Pattern Bracket (3-1) - goBILDA</t>
  </si>
  <si>
    <t>https://www.gobilda.com/1111-series-angle-pattern-bracket-3-1/</t>
  </si>
  <si>
    <t>96mm open goRail</t>
  </si>
  <si>
    <t>1118 Series Open goRAIL (96mm Length) - goBILDA</t>
  </si>
  <si>
    <t>https://www.gobilda.com/1118-series-open-gorail-96mm-length/</t>
  </si>
  <si>
    <t>288mm open goRail</t>
  </si>
  <si>
    <t>1118 Series Open goRAIL (288mm Length) - goBILDA</t>
  </si>
  <si>
    <t>https://www.gobilda.com/1118-series-open-gorail-288mm-length/</t>
  </si>
  <si>
    <t>45deg bracket</t>
  </si>
  <si>
    <t>1111 Series Angle Pattern Bracket (1-1) - goBILDA</t>
  </si>
  <si>
    <t>https://www.gobilda.com/1111-series-angle-pattern-bracket-1-1/</t>
  </si>
  <si>
    <t>90deg steel bracket 2pack</t>
  </si>
  <si>
    <t>1137 Series Steel Flat Grid Bracket (1-1) - 2 Pack - goBILDA</t>
  </si>
  <si>
    <t>https://www.gobilda.com/1137-series-steel-flat-grid-bracket-1-1-2-pack/</t>
  </si>
  <si>
    <t>control arm</t>
  </si>
  <si>
    <t>Plastic Hub-Mount Control Arm (72mm Length) - goBILDA</t>
  </si>
  <si>
    <t>https://www.gobilda.com/plastic-hub-mount-control-arm-72mm-length/</t>
  </si>
  <si>
    <t>8mm ID Spacer (10mm OD, 6mm Length)</t>
  </si>
  <si>
    <t>1522 Series 8mm ID Spacer (10mm OD, 6mm Length) - 4 Pack - goBILDA</t>
  </si>
  <si>
    <t>https://www.gobilda.com/1522-series-8mm-id-spacer-10mm-od-6mm-length-4-pack/</t>
  </si>
  <si>
    <t>8mm ID Spacer (10mm OD, 4mm Length)</t>
  </si>
  <si>
    <t>1522 Series 8mm ID Spacer (10mm OD, 4mm Length) - 4 Pack - goBILDA</t>
  </si>
  <si>
    <t>https://www.gobilda.com/1522-series-8mm-id-spacer-10mm-od-4mm-length-4-pack/</t>
  </si>
  <si>
    <t>goRAIL® Nut (5 Hole) - 2 Pack</t>
  </si>
  <si>
    <t>goRAIL® Nut (5 Hole) - 2 Pack - goBILDA</t>
  </si>
  <si>
    <t>https://www.gobilda.com/gorail-nut-5-hole-2-pack/</t>
  </si>
  <si>
    <t>Body Assembly</t>
  </si>
  <si>
    <t>120mm open goRail</t>
  </si>
  <si>
    <t>1118 Series Open goRAIL (120mm Length) - goBILDA</t>
  </si>
  <si>
    <t>https://www.gobilda.com/1118-series-open-gorail-120mm-length/</t>
  </si>
  <si>
    <t>32mm bearing</t>
  </si>
  <si>
    <t>1604 Series 2-Side, 2-Post Pillow Block (32mm Bore) - goBILDA</t>
  </si>
  <si>
    <t>https://www.gobilda.com/1604-series-2-side-2-post-pillow-block-32mm-bore/</t>
  </si>
  <si>
    <t>32mm 6mm spacer 2 pack</t>
  </si>
  <si>
    <t>1506 Series 32mm ID Spacer (36mm OD, 6mm Length) - 2 Pack - goBILDA</t>
  </si>
  <si>
    <t>https://www.gobilda.com/1506-series-32mm-id-spacer-36mm-od-6mm-length-2-pack/</t>
  </si>
  <si>
    <t>29 hole beam</t>
  </si>
  <si>
    <t>1106 Series Square Beam (29 Hole, 232mm Length) - goBILDA</t>
  </si>
  <si>
    <t>https://www.gobilda.com/1106-series-square-beam-29-hole-232mm-length/</t>
  </si>
  <si>
    <t>41 hole beam</t>
  </si>
  <si>
    <t>1106 Series Square Beam (41 Hole, 328mm Length) - goBILDA</t>
  </si>
  <si>
    <t>https://www.gobilda.com/1106-series-square-beam-41-hole-328mm-length/</t>
  </si>
  <si>
    <t>12 hole beam</t>
  </si>
  <si>
    <t>1106 Series Square Beam (12 Hole, 96mm Length) - goBILDA</t>
  </si>
  <si>
    <t>https://www.gobilda.com/1106-series-square-beam-12-hole-96mm-length/</t>
  </si>
  <si>
    <t>41 hole u-beam beam</t>
  </si>
  <si>
    <t>1101 Series U-Beam (41 Hole, 328mm Length) - goBILDA</t>
  </si>
  <si>
    <t>https://www.gobilda.com/1101-series-u-beam-41-hole-328mm-length/</t>
  </si>
  <si>
    <t>7 hole flat beam 2pack</t>
  </si>
  <si>
    <t>1102 Series Flat Beam (7 Hole, 56mm Length) - 2 Pack - goBILDA</t>
  </si>
  <si>
    <t>https://www.gobilda.com/1102-series-flat-beam-7-hole-56mm-length-2-pack/</t>
  </si>
  <si>
    <t>dual block mount</t>
  </si>
  <si>
    <t>1205 Series Dual Block Mount (1-4) - 2 Pack - goBILDA</t>
  </si>
  <si>
    <t>https://www.gobilda.com/1205-series-dual-block-mount-1-4-2-pack/</t>
  </si>
  <si>
    <t>90deg threaded gusset 4pack</t>
  </si>
  <si>
    <t>1203 Series Block Mount (1-1) - 4 Pack - goBILDA</t>
  </si>
  <si>
    <t>https://www.gobilda.com/1203-series-block-mount-1-1-4-pack/</t>
  </si>
  <si>
    <t>50mm threaded rod</t>
  </si>
  <si>
    <t>2808 Series Stainless Steel Threaded Rod (M4 x 0.7mm, 50mm Length) - 2 Pack - goBILDA</t>
  </si>
  <si>
    <t>https://www.gobilda.com/2808-series-stainless-steel-threaded-rod-m4-x-0-7mm-50mm-length-2-pack/</t>
  </si>
  <si>
    <t>ball linkage 2pack</t>
  </si>
  <si>
    <t>2913 Series Steel Ball Linkage (Female M4 x 0.7mm, 24.1mm Length) - 2 Pack - goBILDA</t>
  </si>
  <si>
    <t>https://www.gobilda.com/2913-series-steel-ball-linkage-female-m4-x-0-7mm-24-1mm-length-2-pack/</t>
  </si>
  <si>
    <t>Idler Bearing Hub</t>
  </si>
  <si>
    <t>Idler Bearing-Hub (32mm OD, 16mm Height) - goBILDA</t>
  </si>
  <si>
    <t>https://www.gobilda.com/idler-bearing-hub-32mm-od-16mm-height/</t>
  </si>
  <si>
    <t>plastic hinges</t>
  </si>
  <si>
    <t>Plastic Hinge - 2 Pack - goBILDA</t>
  </si>
  <si>
    <t>https://www.gobilda.com/plastic-hinge-2-pack/</t>
  </si>
  <si>
    <t>8mm standoffs</t>
  </si>
  <si>
    <t>1501 Series M4 x 0.7mm Standoff (6mm OD, 8mm Length) - 4 Pack</t>
  </si>
  <si>
    <t>https://www.gobilda.com/1501-series-m4-x-0-7mm-standoff-6mm-od-8mm-length-4-pack/</t>
  </si>
  <si>
    <t>22mm standoffs</t>
  </si>
  <si>
    <t>1501 Series M4 x 0.7mm Standoff (6mm OD, 22mm Length) - 4 Pack</t>
  </si>
  <si>
    <t>https://www.gobilda.com/1501-series-m4-x-0-7mm-standoff-6mm-od-22mm-length-4-pack/</t>
  </si>
  <si>
    <t>plastic spacer</t>
  </si>
  <si>
    <t>1500 Series Plastic Spacer (6mm ID x 8mm OD, 1mm Thickness) - 12 Pack</t>
  </si>
  <si>
    <t>https://www.gobilda.com/1500-series-plastic-spacer-6mm-id-x-8mm-od-1mm-thickness-12-pack/</t>
  </si>
  <si>
    <t>1116 Series Grid Plate (3 x 5 Hole, 24 x 40mm)</t>
  </si>
  <si>
    <t>2 hole flat beam</t>
  </si>
  <si>
    <t>1102 Series Flat Beam (2 Hole, 16mm Length) - 2 Pack</t>
  </si>
  <si>
    <t>https://www.gobilda.com/1102-series-flat-beam-2-hole-16mm-length-2-pack/</t>
  </si>
  <si>
    <t>General Assembly</t>
  </si>
  <si>
    <t>hurricane nuts</t>
  </si>
  <si>
    <t>Hurricane Nut for goRAIL - 25 Pack - goBILDA</t>
  </si>
  <si>
    <t>https://www.gobilda.com/hurricane-nut-for-gorail-25-pack/</t>
  </si>
  <si>
    <t>wire grommets</t>
  </si>
  <si>
    <t>Plastic Grommet (14-1) - 12 Pack - goBILDA</t>
  </si>
  <si>
    <t>https://www.gobilda.com/plastic-grommet-14-1-12-pack/</t>
  </si>
  <si>
    <t>M4 washers</t>
  </si>
  <si>
    <t>Zinc Plates Steel Washer (M4 x 8mm OD) - 25 Pack - goBILDA</t>
  </si>
  <si>
    <t>https://www.gobilda.com/2801-series-zinc-plated-steel-washer-4mm-id-x-8mm-od-25-pack/</t>
  </si>
  <si>
    <t>M4 nuts</t>
  </si>
  <si>
    <t>Zinc Plates Steel Hex Nut (M4 x 7) - 25 Pack - goBILDA</t>
  </si>
  <si>
    <t>https://www.gobilda.com/2811-series-zinc-plated-steel-hex-nut-m4-x-0-7mm-7mm-hex-25-pack/</t>
  </si>
  <si>
    <t>M4 locknuts</t>
  </si>
  <si>
    <t>Zinc Plates Steel Locknut (M4 x 7) - 25 Pack - goBILDA</t>
  </si>
  <si>
    <t>https://www.gobilda.com/2812-series-zinc-plated-steel-nylon-insert-locknut-m4-x-0-7mm-7mm-hex-25-pack/</t>
  </si>
  <si>
    <t>M4x6 button screws</t>
  </si>
  <si>
    <t>M4x6 Button Screw 25-pack</t>
  </si>
  <si>
    <t>https://www.gobilda.com/2802-series-zinc-plated-steel-button-head-screw-m4-x-0-7mm-6mm-length-25-pack/</t>
  </si>
  <si>
    <t>M4x10 button screws</t>
  </si>
  <si>
    <t>M4x10 Button Screw 25-pack</t>
  </si>
  <si>
    <t>https://www.gobilda.com/2802-series-zinc-plated-steel-button-head-screw-m4-x-0-7mm-10mm-length-25-pack/</t>
  </si>
  <si>
    <t>M4x16 button screws</t>
  </si>
  <si>
    <t>M4x16 Button Screw 25-pack</t>
  </si>
  <si>
    <t>https://www.gobilda.com/2802-series-zinc-plated-steel-button-head-screw-m4-x-0-7mm-16mm-length-25-pack/</t>
  </si>
  <si>
    <t>M4x8 socket screws</t>
  </si>
  <si>
    <t>M4x8 Socket Screw 25-pack</t>
  </si>
  <si>
    <t>https://www.gobilda.com/2800-series-zinc-plated-steel-socket-head-screw-m4-x-0-7mm-8mm-length-25-pack/</t>
  </si>
  <si>
    <t>M4x10 socket screws</t>
  </si>
  <si>
    <t>M4x10 Socket Screw 25-pack</t>
  </si>
  <si>
    <t>https://www.gobilda.com/2800-series-zinc-plated-steel-socket-head-screw-m4-x-0-7mm-10mm-length-25-pack/</t>
  </si>
  <si>
    <t>M4x12 socket screws</t>
  </si>
  <si>
    <t>M4x12 Socket Screw 25-pack</t>
  </si>
  <si>
    <t>https://www.gobilda.com/2800-series-zinc-plated-steel-socket-head-screw-m4-x-0-7mm-12mm-length-25-pack/</t>
  </si>
  <si>
    <t>M4x16 socket screws</t>
  </si>
  <si>
    <t>M4x16 Socket Screw 25-pack</t>
  </si>
  <si>
    <t>https://www.gobilda.com/2800-series-zinc-plated-steel-socket-head-screw-m4-x-0-7mm-16mm-length-25-pack/</t>
  </si>
  <si>
    <t>M4x20 socket screws</t>
  </si>
  <si>
    <t>M4x20 Socket Screw 25-pack</t>
  </si>
  <si>
    <t>https://www.gobilda.com/2800-series-zinc-plated-steel-socket-head-screw-m4-x-0-7mm-20mm-length-25-pack/</t>
  </si>
  <si>
    <t>Communications Network</t>
  </si>
  <si>
    <t>Radio antenna</t>
  </si>
  <si>
    <t>https://ampedupmarine.com/collections/antennas/products/digital-antenna-1685-pw</t>
  </si>
  <si>
    <t>Sensors - Core</t>
  </si>
  <si>
    <t>Wheel encoders (if motors lack them)</t>
  </si>
  <si>
    <t>CUI AMT102-V or motors with built-in encoders</t>
  </si>
  <si>
    <t>https://www.digikey.com/en/products/detail/same-sky-formerly-cui-devices/AMT102-V/827015</t>
  </si>
  <si>
    <t>est. $25; Rule: Odometry for all autonomous driving (1.e)</t>
  </si>
  <si>
    <t>Steering absolute encoders</t>
  </si>
  <si>
    <t>AS5600 magnetic, or AS5048</t>
  </si>
  <si>
    <t>https://www.adafruit.com/product/6357</t>
  </si>
  <si>
    <t>est. $8-$15; Rule: Verify corner-steer angles</t>
  </si>
  <si>
    <t>Rocker/bogie angle sensors</t>
  </si>
  <si>
    <t>AS5600 magnetic</t>
  </si>
  <si>
    <t>est. $8-$15; Rule: Terrain/high-centering diagnosis (1.c.ii)</t>
  </si>
  <si>
    <t>IMU (accel, gyro, magnetometer, fused heading)</t>
  </si>
  <si>
    <t>Bosch BNO085 breakout</t>
  </si>
  <si>
    <t>https://www.adafruit.com/product/4754</t>
  </si>
  <si>
    <t>est. $25-$40; Rule: Heading for cardinal directions on site panoramas (1.b.iii); slope and tilt on hills</t>
  </si>
  <si>
    <t>GNSS receiver</t>
  </si>
  <si>
    <t>u-blox ZED-F9P board (e.g. SparkFun)</t>
  </si>
  <si>
    <t>https://www.sparkfun.com/sparkfun-gps-rtk2-board-zed-f9p-qwiic-gps-15136.html</t>
  </si>
  <si>
    <t>est. $250-$300; Rule: GNSS essential for Delivery (1.c.iv); site coordinates must include elevation and accuracy range (1.b.iii); WGS 84 (3.d.v)</t>
  </si>
  <si>
    <t>GNSS antenna</t>
  </si>
  <si>
    <t>Multi-band (e.g. u-blox ANN-MB or Tallysman)</t>
  </si>
  <si>
    <t>https://www.sparkfun.com/u-blox-ann-mb-00-antenna.html</t>
  </si>
  <si>
    <t>est. $70-$200; ANN-MB-00 antenna; Rule: As above</t>
  </si>
  <si>
    <t>Sensors - Cameras</t>
  </si>
  <si>
    <t>Navigation camera (wide-angle)</t>
  </si>
  <si>
    <t>Logitech C920 or Arducam UVC wide-angle</t>
  </si>
  <si>
    <t>https://www.logitech.com/en-us/shop/p/c920s-pro-hd-webcam</t>
  </si>
  <si>
    <t>est. $50-$80; Link is the C920s (current C920 successor); Rule: Teleoperation through terrain with no direct view of the course (3.d.i)</t>
  </si>
  <si>
    <t>Rear/side camera</t>
  </si>
  <si>
    <t>Arducam UVC</t>
  </si>
  <si>
    <t>https://www.arducam.com/arducam-1080p-ultra-low-light-100-degree-wide-angle-usb2-uvc-camera-module.html</t>
  </si>
  <si>
    <t>est. $30-$50; Arducam 1080P 100-degree UVC; pick any UVC model; Rule: Backing up, wheel contact, hazards</t>
  </si>
  <si>
    <t>Arm/gripper camera (RGB, autofocus)</t>
  </si>
  <si>
    <t>Small UVC or Arducam autofocus</t>
  </si>
  <si>
    <t>https://www.arducam.com/16mp-autofocus-usb2-0-uvc-camera-full-sensor-coverage-digital-ptz-arducam-ezbox-klarity.html</t>
  </si>
  <si>
    <t>est. $30-$80; Arducam 16MP autofocus UVC; swap for any small UVC; Rule: Grasping objects up to 5 kg (1.c.iii), opening boxes and drawers (1.d.ii)</t>
  </si>
  <si>
    <t>Mast camera (pan/tilt/zoom)</t>
  </si>
  <si>
    <t>PTZ IP camera or Arducam PTZ</t>
  </si>
  <si>
    <t>est. $150-$400; Rule: Read signs (1.c.iii), site panorama and close-ups (1.b.iii), spot ArUco posts from distance (1.e.xii)</t>
  </si>
  <si>
    <t>Depth camera</t>
  </si>
  <si>
    <t>Intel RealSense D435i</t>
  </si>
  <si>
    <t>https://store.intelrealsense.com/buy-intel-realsense-depth-camera-d435i.html</t>
  </si>
  <si>
    <t>est. $350-$550; Rule: Obstacle detection, person and gesture following (1.e.vi), route finding</t>
  </si>
  <si>
    <t>Sensors - Power/safety</t>
  </si>
  <si>
    <t>Current sensors (motors, arm, battery)</t>
  </si>
  <si>
    <t>INA226 or INA219 breakout</t>
  </si>
  <si>
    <t>https://www.adafruit.com/product/904</t>
  </si>
  <si>
    <t>est. $5-$15; INA219 breakout; INA226 is the higher-range alternative; Rule: Stall/overload protection; can double as grasp and torque sensing</t>
  </si>
  <si>
    <t>Temperature sensors (motors, drivers, battery)</t>
  </si>
  <si>
    <t>NTC thermistors or DS18B20</t>
  </si>
  <si>
    <t>https://www.adafruit.com/product/381</t>
  </si>
  <si>
    <t>est. $2-$8; DS18B20 waterproof probe; Rule: Temperatures can reach 100 F / 37.8 C with dust (3.d.iii)</t>
  </si>
  <si>
    <t>Battery voltage/state monitoring</t>
  </si>
  <si>
    <t>Pack monitor or BMS with telemetry</t>
  </si>
  <si>
    <t>est. $30-$80; Rule: Avoid brownouts; battery swaps in the field count as interventions (3.e.vii)</t>
  </si>
  <si>
    <t>Sensors - Arm</t>
  </si>
  <si>
    <t>Joint limit/home switches</t>
  </si>
  <si>
    <t>Microswitches or hall sensors</t>
  </si>
  <si>
    <t>est. $2-$5; Rule: Safe arm homing and travel limits</t>
  </si>
  <si>
    <t>Arm joint encoders</t>
  </si>
  <si>
    <t>AS5048/AS5600 or encoder-equipped actuators</t>
  </si>
  <si>
    <t>est. $10-$30; Rule: Reach anywhere between ground and 1.5 m on the lander (1.d.i)</t>
  </si>
  <si>
    <t>Required Hardware</t>
  </si>
  <si>
    <t>E-stop: red push-button + main battery contactor</t>
  </si>
  <si>
    <t>Red push-button E-stop and high-current contactor</t>
  </si>
  <si>
    <t>est. $60-$150; Rule: 2.a.v: red push button (not a knob), visible on exterior, must cut all battery power</t>
  </si>
  <si>
    <t>Rear status LED indicator (red / blue / flashing green)</t>
  </si>
  <si>
    <t>High-power LED array visible in daylight</t>
  </si>
  <si>
    <t>est. $30-$120; Rule: 1.e.ii: red = autonomous, blue = teleop, flashing green = arrived at target</t>
  </si>
  <si>
    <t>Sensors - Astrobiology</t>
  </si>
  <si>
    <t>Bioassay optical readout (color/absorbance)</t>
  </si>
  <si>
    <t>AS7341 spectral sensor or TCS34725 color sensor</t>
  </si>
  <si>
    <t>https://www.adafruit.com/product/4698</t>
  </si>
  <si>
    <t>est. $10-$40; Rule-driven tier; Rule: 1.b.v: at least two life-detection methods, at least one a bioassay</t>
  </si>
  <si>
    <t>Second life-detection sensor (microscopy/fluorescence)</t>
  </si>
  <si>
    <t>USB microscope + UV LED illumination</t>
  </si>
  <si>
    <t>est. $50-$150; Rule-driven tier; Rule: 1.b.v: second life-detection capability</t>
  </si>
  <si>
    <t>Sample depth measurement (10 cm or deeper)</t>
  </si>
  <si>
    <t>Linear potentiometer or drill-feed encoder</t>
  </si>
  <si>
    <t>est. $15-$60; Rule-driven tier; Rule: 1.b.vi: sample at 10 cm or deeper; team must distinguish soil depth</t>
  </si>
  <si>
    <t>Sample mass measurement</t>
  </si>
  <si>
    <t>1 kg load cell + HX711</t>
  </si>
  <si>
    <t>https://www.sparkfun.com/sparkfun-load-cell-amplifier-hx711.html</t>
  </si>
  <si>
    <t>est. $10-$25; Link is the HX711 amplifier only; 1 kg load cell sold separately; Rule-driven tier; Rule: 1.b.vi: at least 5 g from below 10 cm</t>
  </si>
  <si>
    <t>Cache closed/sealed detection</t>
  </si>
  <si>
    <t>Microswitch or hall sensor</t>
  </si>
  <si>
    <t>est. $2-$10; Rule-driven tier; Rule: 1.b.vii: sealed cache must not spill if inverted</t>
  </si>
  <si>
    <t>Sensors - Equipment Servicing</t>
  </si>
  <si>
    <t>Close-range camera for autonomous typing and key insertion</t>
  </si>
  <si>
    <t>Intel RealSense D405</t>
  </si>
  <si>
    <t>https://store.intelrealsense.com/buy-intel-realsense-depth-camera-d405.html</t>
  </si>
  <si>
    <t>est. $270-$450; Rule-driven tier; Rule: 1.d.ii: 2 cm ArUco markers on keyboard corners; 1 cm markers on key and keyhole</t>
  </si>
  <si>
    <t>Sensors - Autonomy</t>
  </si>
  <si>
    <t>EVA suit camera + microphone with wireless link to C2</t>
  </si>
  <si>
    <t>IP camera with mic and 2.4 GHz link</t>
  </si>
  <si>
    <t>est. $100-$300; Rule-driven tier; Rule: 1.e.iv: suit must carry camera and microphone monitored from C2; suit counts toward budget (3.c.iii)</t>
  </si>
  <si>
    <t>Handheld astronaut command device</t>
  </si>
  <si>
    <t>ESP32 or similar remote on 2.4 GHz</t>
  </si>
  <si>
    <t>est. $20-$80; Recommended tier; Rule: 1.e.vi to 1.e.x: Follow, Stay, Fetch, Come, Give commands; check band rules (2.c.v)</t>
  </si>
  <si>
    <t>ArUco (4x4_50) and person/gesture recognition</t>
  </si>
  <si>
    <t>Uses existing cameras</t>
  </si>
  <si>
    <t>est. $0; Rule-driven tier; Rule: 1.e.vi, 1.e.xii: no extra hardware, but budget onboard compute separately</t>
  </si>
  <si>
    <t>Total</t>
  </si>
  <si>
    <t>Shipping &amp; tax allowance (%)</t>
  </si>
  <si>
    <t>Total incl. shipping &amp; tax</t>
  </si>
  <si>
    <t>Fielded-equipment cap ($)</t>
  </si>
  <si>
    <t>Cap remaining ($)</t>
  </si>
  <si>
    <t>Notes: Blue = editable input (unit cost, qty). Total Cost = Unit Cost x Qty.</t>
  </si>
  <si>
    <t>goBILDA prices (rows above, from README.md) may change and exclude the 15% educational discount and shipping.</t>
  </si>
  <si>
    <t>Sensor unit costs are the HIGH end of the approximate USD ranges from the URC 2027 sensor list (range shown in Notes); they are estimates, not live quotes. Verify before ordering.</t>
  </si>
  <si>
    <t>Sensor links are to the specific example part where one was named; blank = no specific part to link (generic item). Check price and stock on the page.</t>
  </si>
  <si>
    <t>The $26,000 cap is URC 2027 rule 3.c.iii; shipping/tax must be included in item costs (3.c.viii). The 10% allowance is a planning assumption.</t>
  </si>
  <si>
    <t>Optional / not included in total (move a row above the Total to include it)</t>
  </si>
  <si>
    <t>Soil/sample temperature probe</t>
  </si>
  <si>
    <t>DS18B20 waterproof</t>
  </si>
  <si>
    <t>est. $3-$10; Recommended tier; Rule: Supports bioassay and site analysis</t>
  </si>
  <si>
    <t>Soil moisture probe</t>
  </si>
  <si>
    <t>Capacitive probe</t>
  </si>
  <si>
    <t>https://www.adafruit.com/product/4026</t>
  </si>
  <si>
    <t>est. $10-$40; Adafruit STEMMA capacitive soil sensor; Recommended tier; Rule: Habitability context for site comparison</t>
  </si>
  <si>
    <t>Soil/water pH probe</t>
  </si>
  <si>
    <t>Atlas Scientific or similar</t>
  </si>
  <si>
    <t>https://atlas-scientific.com/gravity-analog-ph-kit</t>
  </si>
  <si>
    <t>est. $50-$150; Atlas Scientific Gravity analog pH kit; Recommended tier; Rule: Habitability context; check chemical rules (1.b.ix)</t>
  </si>
  <si>
    <t>Temperature/humidity/pressure</t>
  </si>
  <si>
    <t>BME280</t>
  </si>
  <si>
    <t>https://www.adafruit.com/product/2652</t>
  </si>
  <si>
    <t>est. $10-$20; Recommended tier; Rule: Site documentation</t>
  </si>
  <si>
    <t>CO2 sensor (respiration-style life detection)</t>
  </si>
  <si>
    <t>SCD40</t>
  </si>
  <si>
    <t>https://www.adafruit.com/product/5187</t>
  </si>
  <si>
    <t>est. $20-$40; Recommended tier; Rule: Alternative second life-detection method (1.b.v)</t>
  </si>
  <si>
    <t>Liquid level / leak detection</t>
  </si>
  <si>
    <t>Capacitive level or leak sensors</t>
  </si>
  <si>
    <t>est. $5-$20; Recommended tier; Rule: 1.b.ix: no-spill policy for water and chemicals</t>
  </si>
  <si>
    <t>Sensors - Delivery</t>
  </si>
  <si>
    <t>Gripper grasp/contact sensing</t>
  </si>
  <si>
    <t>FSR or motor-current sensing</t>
  </si>
  <si>
    <t>https://www.adafruit.com/product/166</t>
  </si>
  <si>
    <t>est. $10-$40; Round FSR, 0.3-10 N; Recommended tier; Rule: 1.c.iii: objects up to 5 kg, up to 40 cm per side</t>
  </si>
  <si>
    <t>Fingertip contact sensing (keys, buttons, switches)</t>
  </si>
  <si>
    <t>FSR or microswitch</t>
  </si>
  <si>
    <t>est. $5-$20; Round FSR, 0.3-10 N; Recommended tier; Rule: 1.d.ii: push buttons, flip switches, type launch key</t>
  </si>
  <si>
    <t>Rover microphone array + windscreen</t>
  </si>
  <si>
    <t>ReSpeaker USB mic array + windscreen</t>
  </si>
  <si>
    <t>https://www.seeedstudio.com/ReSpeaker-Mic-Array-v3-0.html</t>
  </si>
  <si>
    <t>est. $40-$110; Recommended tier; Rule: 1.e.vi: audio recognition worth 2/3 of Follow points</t>
  </si>
  <si>
    <t>Optional Sensors</t>
  </si>
  <si>
    <t>3D LiDAR</t>
  </si>
  <si>
    <t>Livox Mid-360</t>
  </si>
  <si>
    <t>https://robostore.com/products/livox-mid-360-lidar</t>
  </si>
  <si>
    <t>est. $750; Why: Strongly useful for hilly route finding where not all approaches are navigable (1.e.xv); depth camera can substitute</t>
  </si>
  <si>
    <t>2D LiDAR</t>
  </si>
  <si>
    <t>RPLIDAR S2</t>
  </si>
  <si>
    <t>https://ca.robotshop.com/products/rplidar-s2-360-laser-scanner-30-m</t>
  </si>
  <si>
    <t>est. $400; RPLIDAR S2 (listing on RobotShop Canada); Why: Cheaper obstacle detection for autonomy</t>
  </si>
  <si>
    <t>Stereo camera</t>
  </si>
  <si>
    <t>StereoLabs ZED 2i</t>
  </si>
  <si>
    <t>https://store.stereolabs.com/products/zed-2i</t>
  </si>
  <si>
    <t>est. $450-$550; Why: Longer range than the D435i</t>
  </si>
  <si>
    <t>RTK base station (second receiver + antenna + radio link for corrections)</t>
  </si>
  <si>
    <t>Second ZED-F9P + antenna + radio</t>
  </si>
  <si>
    <t>est. $450-$700; Link is the ZED-F9P board only; antenna and radio extra; Why: Helps the 1 m target stops (1.e.xvii) only in line of sight; satellite internet is not allowed (2.c.i) so no internet corrections; base equipment counts toward budget (3.c.iii)</t>
  </si>
  <si>
    <t>Dual-antenna GNSS heading</t>
  </si>
  <si>
    <t>Second ZED-F9P + antenna</t>
  </si>
  <si>
    <t>est. $350-$500; Link is the ZED-F9P board only; antenna extra; Why: Accurate heading without relying on the magnetometer</t>
  </si>
  <si>
    <t>Barometric altimeter</t>
  </si>
  <si>
    <t>BMP390</t>
  </si>
  <si>
    <t>https://www.adafruit.com/product/4816</t>
  </si>
  <si>
    <t>est. $5-$15; Why: Cross-check elevation reported for sites (1.b.iii)</t>
  </si>
  <si>
    <t>Proximity sensors (ToF/ultrasonic)</t>
  </si>
  <si>
    <t>VL53L1X or HC-SR04</t>
  </si>
  <si>
    <t>https://www.adafruit.com/product/3967</t>
  </si>
  <si>
    <t>est. $5-$15; Why: Close-range obstacle warnings</t>
  </si>
  <si>
    <t>6-axis force/torque sensor</t>
  </si>
  <si>
    <t>Low-cost strain-gauge unit</t>
  </si>
  <si>
    <t>est. $300-$1500; Why: Key turning, lever valve, hose push-on (1.d.ii); motor current can substitute</t>
  </si>
  <si>
    <t>Thermal camera</t>
  </si>
  <si>
    <t>FLIR Lepton</t>
  </si>
  <si>
    <t>est. $250-$350; Why: Overheat diagnosis in desert heat (3.d.iii); thermistors cover the basics</t>
  </si>
  <si>
    <t>Steered-antenna pointing sensor at C2</t>
  </si>
  <si>
    <t>AS5600 encoder or compass module</t>
  </si>
  <si>
    <t>est. $15-$50; Why: Feedback for a steered directional antenna; a camera on the antenna is not allowed (2.c.iii)</t>
  </si>
  <si>
    <t>Dedicated radio link monitor</t>
  </si>
  <si>
    <t>Your radio's built-in RSSI</t>
  </si>
  <si>
    <t>est. $0-$50; Why: Usually already exposed by the radio; useful with out-of-line-of-sight Delivery tasks (3.d.ii)</t>
  </si>
  <si>
    <t>Spare cameras</t>
  </si>
  <si>
    <t>Same UVC model as your others</t>
  </si>
  <si>
    <t>est. $30-$50; Why: Redundancy if a camera fails (interventions cost 20% per event, 3.e.viii)</t>
  </si>
  <si>
    <t>Rotary-wing drone with camera + GNSS (rough estimate)</t>
  </si>
  <si>
    <t>COTS or custom, 5 kg max including dummy mass</t>
  </si>
  <si>
    <t>est. $800-$3000; Why: Gives an advantage in Delivery and Autonomy (2.b.i); cost counts toward $26,000 (2.b.viii); price is a rough placeholder</t>
  </si>
  <si>
    <t>FAA Remote ID module (if drone lacks built-in)</t>
  </si>
  <si>
    <t>Broadcast Remote ID module</t>
  </si>
  <si>
    <t>est. $30-$100; Why: Required for drones (2.b.ix)</t>
  </si>
  <si>
    <t>Optional subtotal (not in 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</si>
</sst>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u/>
      <sz val="11"/>
      <color rgb="FF0563C1"/>
      <name val="Arial"/>
      <family val="2"/>
    </font>
    <font>
      <sz val="11"/>
      <color rgb="FF0000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164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164" fontId="2" fillId="0" borderId="0" xfId="0" applyNumberFormat="1" applyFont="1" applyAlignment="1">
      <alignment vertical="top"/>
    </xf>
    <xf numFmtId="0" fontId="2" fillId="0" borderId="0" xfId="0" applyFont="1" applyAlignment="1">
      <alignment vertical="top" wrapText="1"/>
    </xf>
    <xf numFmtId="0" fontId="5" fillId="0" borderId="0" xfId="0" applyFont="1"/>
    <xf numFmtId="164" fontId="5" fillId="0" borderId="0" xfId="0" applyNumberFormat="1" applyFont="1"/>
    <xf numFmtId="0" fontId="6" fillId="0" borderId="0" xfId="0" applyFont="1"/>
    <xf numFmtId="9" fontId="4" fillId="0" borderId="0" xfId="0" applyNumberFormat="1" applyFont="1"/>
    <xf numFmtId="164" fontId="4" fillId="0" borderId="0" xfId="0" applyNumberFormat="1" applyFont="1"/>
    <xf numFmtId="164" fontId="2" fillId="0" borderId="0" xfId="0" applyNumberFormat="1" applyFont="1"/>
    <xf numFmtId="0" fontId="7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bilda.com/1522-series-8mm-id-spacer-10mm-od-4mm-length-4-pack/" TargetMode="External"/><Relationship Id="rId21" Type="http://schemas.openxmlformats.org/officeDocument/2006/relationships/hyperlink" Target="https://www.gobilda.com/1118-series-open-gorail-288mm-length/" TargetMode="External"/><Relationship Id="rId42" Type="http://schemas.openxmlformats.org/officeDocument/2006/relationships/hyperlink" Target="https://www.gobilda.com/plastic-hinge-2-pack/" TargetMode="External"/><Relationship Id="rId47" Type="http://schemas.openxmlformats.org/officeDocument/2006/relationships/hyperlink" Target="https://www.gobilda.com/1102-series-flat-beam-2-hole-16mm-length-2-pack/" TargetMode="External"/><Relationship Id="rId63" Type="http://schemas.openxmlformats.org/officeDocument/2006/relationships/hyperlink" Target="https://www.adafruit.com/product/6357" TargetMode="External"/><Relationship Id="rId68" Type="http://schemas.openxmlformats.org/officeDocument/2006/relationships/hyperlink" Target="https://www.logitech.com/en-us/shop/p/c920s-pro-hd-webcam" TargetMode="External"/><Relationship Id="rId84" Type="http://schemas.openxmlformats.org/officeDocument/2006/relationships/hyperlink" Target="https://www.adafruit.com/product/166" TargetMode="External"/><Relationship Id="rId89" Type="http://schemas.openxmlformats.org/officeDocument/2006/relationships/hyperlink" Target="https://www.sparkfun.com/sparkfun-gps-rtk2-board-zed-f9p-qwiic-gps-15136.html" TargetMode="External"/><Relationship Id="rId16" Type="http://schemas.openxmlformats.org/officeDocument/2006/relationships/hyperlink" Target="https://www.gobilda.com/1221-series-2-side-2-post-pattern-mount-32-2/" TargetMode="External"/><Relationship Id="rId11" Type="http://schemas.openxmlformats.org/officeDocument/2006/relationships/hyperlink" Target="https://www.gobilda.com/1309-series-sonic-hub-8mm-bore/" TargetMode="External"/><Relationship Id="rId32" Type="http://schemas.openxmlformats.org/officeDocument/2006/relationships/hyperlink" Target="https://www.gobilda.com/1106-series-square-beam-29-hole-232mm-length/" TargetMode="External"/><Relationship Id="rId37" Type="http://schemas.openxmlformats.org/officeDocument/2006/relationships/hyperlink" Target="https://www.gobilda.com/1205-series-dual-block-mount-1-4-2-pack/" TargetMode="External"/><Relationship Id="rId53" Type="http://schemas.openxmlformats.org/officeDocument/2006/relationships/hyperlink" Target="https://www.gobilda.com/2802-series-zinc-plated-steel-button-head-screw-m4-x-0-7mm-6mm-length-25-pack/" TargetMode="External"/><Relationship Id="rId58" Type="http://schemas.openxmlformats.org/officeDocument/2006/relationships/hyperlink" Target="https://www.gobilda.com/2800-series-zinc-plated-steel-socket-head-screw-m4-x-0-7mm-12mm-length-25-pack/" TargetMode="External"/><Relationship Id="rId74" Type="http://schemas.openxmlformats.org/officeDocument/2006/relationships/hyperlink" Target="https://www.adafruit.com/product/6357" TargetMode="External"/><Relationship Id="rId79" Type="http://schemas.openxmlformats.org/officeDocument/2006/relationships/hyperlink" Target="https://www.adafruit.com/product/4026" TargetMode="External"/><Relationship Id="rId5" Type="http://schemas.openxmlformats.org/officeDocument/2006/relationships/hyperlink" Target="https://www.gobilda.com/1120-series-u-channel-2-hole-72mm-length/" TargetMode="External"/><Relationship Id="rId90" Type="http://schemas.openxmlformats.org/officeDocument/2006/relationships/hyperlink" Target="https://www.sparkfun.com/sparkfun-gps-rtk2-board-zed-f9p-qwiic-gps-15136.html" TargetMode="External"/><Relationship Id="rId22" Type="http://schemas.openxmlformats.org/officeDocument/2006/relationships/hyperlink" Target="https://www.gobilda.com/1111-series-angle-pattern-bracket-1-1/" TargetMode="External"/><Relationship Id="rId27" Type="http://schemas.openxmlformats.org/officeDocument/2006/relationships/hyperlink" Target="https://www.gobilda.com/gorail-nut-5-hole-2-pack/" TargetMode="External"/><Relationship Id="rId43" Type="http://schemas.openxmlformats.org/officeDocument/2006/relationships/hyperlink" Target="https://www.gobilda.com/1501-series-m4-x-0-7mm-standoff-6mm-od-8mm-length-4-pack/" TargetMode="External"/><Relationship Id="rId48" Type="http://schemas.openxmlformats.org/officeDocument/2006/relationships/hyperlink" Target="https://www.gobilda.com/hurricane-nut-for-gorail-25-pack/" TargetMode="External"/><Relationship Id="rId64" Type="http://schemas.openxmlformats.org/officeDocument/2006/relationships/hyperlink" Target="https://www.adafruit.com/product/6357" TargetMode="External"/><Relationship Id="rId69" Type="http://schemas.openxmlformats.org/officeDocument/2006/relationships/hyperlink" Target="https://www.arducam.com/arducam-1080p-ultra-low-light-100-degree-wide-angle-usb2-uvc-camera-module.html" TargetMode="External"/><Relationship Id="rId8" Type="http://schemas.openxmlformats.org/officeDocument/2006/relationships/hyperlink" Target="https://www.gobilda.com/1120-series-u-channel-1-hole-48mm-length/" TargetMode="External"/><Relationship Id="rId51" Type="http://schemas.openxmlformats.org/officeDocument/2006/relationships/hyperlink" Target="https://www.gobilda.com/2811-series-zinc-plated-steel-hex-nut-m4-x-0-7mm-7mm-hex-25-pack/" TargetMode="External"/><Relationship Id="rId72" Type="http://schemas.openxmlformats.org/officeDocument/2006/relationships/hyperlink" Target="https://www.adafruit.com/product/904" TargetMode="External"/><Relationship Id="rId80" Type="http://schemas.openxmlformats.org/officeDocument/2006/relationships/hyperlink" Target="https://atlas-scientific.com/gravity-analog-ph-kit" TargetMode="External"/><Relationship Id="rId85" Type="http://schemas.openxmlformats.org/officeDocument/2006/relationships/hyperlink" Target="https://www.seeedstudio.com/ReSpeaker-Mic-Array-v3-0.html" TargetMode="External"/><Relationship Id="rId93" Type="http://schemas.openxmlformats.org/officeDocument/2006/relationships/hyperlink" Target="https://www.adafruit.com/product/6357" TargetMode="External"/><Relationship Id="rId3" Type="http://schemas.openxmlformats.org/officeDocument/2006/relationships/hyperlink" Target="https://www.gobilda.com/5203-series-yellow-jacket-planetary-gear-motor-26-9-1-ratio-24mm-length-8mm-rex-shaft-223-rpm-3-3-5v-encoder/" TargetMode="External"/><Relationship Id="rId12" Type="http://schemas.openxmlformats.org/officeDocument/2006/relationships/hyperlink" Target="https://www.gobilda.com/1611-series-flanged-ball-bearing-8mm-id-x-14mm-od-5mm-thickness-2-pack/" TargetMode="External"/><Relationship Id="rId17" Type="http://schemas.openxmlformats.org/officeDocument/2006/relationships/hyperlink" Target="https://www.gobilda.com/1126-series-steel-flat-bracket-1-1-2-pack/" TargetMode="External"/><Relationship Id="rId25" Type="http://schemas.openxmlformats.org/officeDocument/2006/relationships/hyperlink" Target="https://www.gobilda.com/1522-series-8mm-id-spacer-10mm-od-6mm-length-4-pack/" TargetMode="External"/><Relationship Id="rId33" Type="http://schemas.openxmlformats.org/officeDocument/2006/relationships/hyperlink" Target="https://www.gobilda.com/1106-series-square-beam-41-hole-328mm-length/" TargetMode="External"/><Relationship Id="rId38" Type="http://schemas.openxmlformats.org/officeDocument/2006/relationships/hyperlink" Target="https://www.gobilda.com/1203-series-block-mount-1-1-4-pack/" TargetMode="External"/><Relationship Id="rId46" Type="http://schemas.openxmlformats.org/officeDocument/2006/relationships/hyperlink" Target="https://www.gobilda.com/1116-series-grid-plate-3-x-5-hole-24-x-40mm/" TargetMode="External"/><Relationship Id="rId59" Type="http://schemas.openxmlformats.org/officeDocument/2006/relationships/hyperlink" Target="https://www.gobilda.com/2800-series-zinc-plated-steel-socket-head-screw-m4-x-0-7mm-16mm-length-25-pack/" TargetMode="External"/><Relationship Id="rId67" Type="http://schemas.openxmlformats.org/officeDocument/2006/relationships/hyperlink" Target="https://www.sparkfun.com/u-blox-ann-mb-00-antenna.html" TargetMode="External"/><Relationship Id="rId20" Type="http://schemas.openxmlformats.org/officeDocument/2006/relationships/hyperlink" Target="https://www.gobilda.com/1118-series-open-gorail-96mm-length/" TargetMode="External"/><Relationship Id="rId41" Type="http://schemas.openxmlformats.org/officeDocument/2006/relationships/hyperlink" Target="https://www.gobilda.com/idler-bearing-hub-32mm-od-16mm-height/" TargetMode="External"/><Relationship Id="rId54" Type="http://schemas.openxmlformats.org/officeDocument/2006/relationships/hyperlink" Target="https://www.gobilda.com/2802-series-zinc-plated-steel-button-head-screw-m4-x-0-7mm-10mm-length-25-pack/" TargetMode="External"/><Relationship Id="rId62" Type="http://schemas.openxmlformats.org/officeDocument/2006/relationships/hyperlink" Target="https://www.digikey.com/en/products/detail/same-sky-formerly-cui-devices/AMT102-V/827015" TargetMode="External"/><Relationship Id="rId70" Type="http://schemas.openxmlformats.org/officeDocument/2006/relationships/hyperlink" Target="https://www.arducam.com/16mp-autofocus-usb2-0-uvc-camera-full-sensor-coverage-digital-ptz-arducam-ezbox-klarity.html" TargetMode="External"/><Relationship Id="rId75" Type="http://schemas.openxmlformats.org/officeDocument/2006/relationships/hyperlink" Target="https://www.adafruit.com/product/4698" TargetMode="External"/><Relationship Id="rId83" Type="http://schemas.openxmlformats.org/officeDocument/2006/relationships/hyperlink" Target="https://www.adafruit.com/product/166" TargetMode="External"/><Relationship Id="rId88" Type="http://schemas.openxmlformats.org/officeDocument/2006/relationships/hyperlink" Target="https://store.stereolabs.com/products/zed-2i" TargetMode="External"/><Relationship Id="rId91" Type="http://schemas.openxmlformats.org/officeDocument/2006/relationships/hyperlink" Target="https://www.adafruit.com/product/4816" TargetMode="External"/><Relationship Id="rId1" Type="http://schemas.openxmlformats.org/officeDocument/2006/relationships/hyperlink" Target="https://www.gobilda.com/wasteland-wheel-144mm-diameter-52mm-width/" TargetMode="External"/><Relationship Id="rId6" Type="http://schemas.openxmlformats.org/officeDocument/2006/relationships/hyperlink" Target="https://www.gobilda.com/1109-series-gorail-144mm-length/" TargetMode="External"/><Relationship Id="rId15" Type="http://schemas.openxmlformats.org/officeDocument/2006/relationships/hyperlink" Target="https://www.gobilda.com/1102-series-flat-beam-3-hole-24mm-length-2-pack/" TargetMode="External"/><Relationship Id="rId23" Type="http://schemas.openxmlformats.org/officeDocument/2006/relationships/hyperlink" Target="https://www.gobilda.com/1137-series-steel-flat-grid-bracket-1-1-2-pack/" TargetMode="External"/><Relationship Id="rId28" Type="http://schemas.openxmlformats.org/officeDocument/2006/relationships/hyperlink" Target="https://www.gobilda.com/1118-series-open-gorail-120mm-length/" TargetMode="External"/><Relationship Id="rId36" Type="http://schemas.openxmlformats.org/officeDocument/2006/relationships/hyperlink" Target="https://www.gobilda.com/1102-series-flat-beam-7-hole-56mm-length-2-pack/" TargetMode="External"/><Relationship Id="rId49" Type="http://schemas.openxmlformats.org/officeDocument/2006/relationships/hyperlink" Target="https://www.gobilda.com/plastic-grommet-14-1-12-pack/" TargetMode="External"/><Relationship Id="rId57" Type="http://schemas.openxmlformats.org/officeDocument/2006/relationships/hyperlink" Target="https://www.gobilda.com/2800-series-zinc-plated-steel-socket-head-screw-m4-x-0-7mm-10mm-length-25-pack/" TargetMode="External"/><Relationship Id="rId10" Type="http://schemas.openxmlformats.org/officeDocument/2006/relationships/hyperlink" Target="https://www.gobilda.com/2000-series-dual-mode-servo-25-2-torque/" TargetMode="External"/><Relationship Id="rId31" Type="http://schemas.openxmlformats.org/officeDocument/2006/relationships/hyperlink" Target="https://www.gobilda.com/1506-series-32mm-id-spacer-36mm-od-6mm-length-2-pack/" TargetMode="External"/><Relationship Id="rId44" Type="http://schemas.openxmlformats.org/officeDocument/2006/relationships/hyperlink" Target="https://www.gobilda.com/1501-series-m4-x-0-7mm-standoff-6mm-od-22mm-length-4-pack/" TargetMode="External"/><Relationship Id="rId52" Type="http://schemas.openxmlformats.org/officeDocument/2006/relationships/hyperlink" Target="https://www.gobilda.com/2812-series-zinc-plated-steel-nylon-insert-locknut-m4-x-0-7mm-7mm-hex-25-pack/" TargetMode="External"/><Relationship Id="rId60" Type="http://schemas.openxmlformats.org/officeDocument/2006/relationships/hyperlink" Target="https://www.gobilda.com/2800-series-zinc-plated-steel-socket-head-screw-m4-x-0-7mm-20mm-length-25-pack/" TargetMode="External"/><Relationship Id="rId65" Type="http://schemas.openxmlformats.org/officeDocument/2006/relationships/hyperlink" Target="https://www.adafruit.com/product/4754" TargetMode="External"/><Relationship Id="rId73" Type="http://schemas.openxmlformats.org/officeDocument/2006/relationships/hyperlink" Target="https://www.adafruit.com/product/381" TargetMode="External"/><Relationship Id="rId78" Type="http://schemas.openxmlformats.org/officeDocument/2006/relationships/hyperlink" Target="https://www.adafruit.com/product/381" TargetMode="External"/><Relationship Id="rId81" Type="http://schemas.openxmlformats.org/officeDocument/2006/relationships/hyperlink" Target="https://www.adafruit.com/product/2652" TargetMode="External"/><Relationship Id="rId86" Type="http://schemas.openxmlformats.org/officeDocument/2006/relationships/hyperlink" Target="https://robostore.com/products/livox-mid-360-lidar" TargetMode="External"/><Relationship Id="rId4" Type="http://schemas.openxmlformats.org/officeDocument/2006/relationships/hyperlink" Target="https://www.gobilda.com/1310-series-hyper-hub-8mm-rex-bore/" TargetMode="External"/><Relationship Id="rId9" Type="http://schemas.openxmlformats.org/officeDocument/2006/relationships/hyperlink" Target="https://www.gobilda.com/servoblock-standard-size-25-tooth-spline-hub-shaft/" TargetMode="External"/><Relationship Id="rId13" Type="http://schemas.openxmlformats.org/officeDocument/2006/relationships/hyperlink" Target="https://www.gobilda.com/1504-series-32mm-od-pattern-spacer-2mm-length/" TargetMode="External"/><Relationship Id="rId18" Type="http://schemas.openxmlformats.org/officeDocument/2006/relationships/hyperlink" Target="https://www.gobilda.com/1116-series-grid-plate-3-x-5-hole-24-x-40mm/" TargetMode="External"/><Relationship Id="rId39" Type="http://schemas.openxmlformats.org/officeDocument/2006/relationships/hyperlink" Target="https://www.gobilda.com/2808-series-stainless-steel-threaded-rod-m4-x-0-7mm-50mm-length-2-pack/" TargetMode="External"/><Relationship Id="rId34" Type="http://schemas.openxmlformats.org/officeDocument/2006/relationships/hyperlink" Target="https://www.gobilda.com/1106-series-square-beam-12-hole-96mm-length/" TargetMode="External"/><Relationship Id="rId50" Type="http://schemas.openxmlformats.org/officeDocument/2006/relationships/hyperlink" Target="https://www.gobilda.com/2801-series-zinc-plated-steel-washer-4mm-id-x-8mm-od-25-pack/" TargetMode="External"/><Relationship Id="rId55" Type="http://schemas.openxmlformats.org/officeDocument/2006/relationships/hyperlink" Target="https://www.gobilda.com/2802-series-zinc-plated-steel-button-head-screw-m4-x-0-7mm-16mm-length-25-pack/" TargetMode="External"/><Relationship Id="rId76" Type="http://schemas.openxmlformats.org/officeDocument/2006/relationships/hyperlink" Target="https://www.sparkfun.com/sparkfun-load-cell-amplifier-hx711.html" TargetMode="External"/><Relationship Id="rId7" Type="http://schemas.openxmlformats.org/officeDocument/2006/relationships/hyperlink" Target="https://www.gobilda.com/1121-series-low-side-u-channel-4-hole-120mm-length/" TargetMode="External"/><Relationship Id="rId71" Type="http://schemas.openxmlformats.org/officeDocument/2006/relationships/hyperlink" Target="https://store.intelrealsense.com/buy-intel-realsense-depth-camera-d435i.html" TargetMode="External"/><Relationship Id="rId92" Type="http://schemas.openxmlformats.org/officeDocument/2006/relationships/hyperlink" Target="https://www.adafruit.com/product/3967" TargetMode="External"/><Relationship Id="rId2" Type="http://schemas.openxmlformats.org/officeDocument/2006/relationships/hyperlink" Target="https://www.gobilda.com/1401-series-2-side-2-post-clamping-mount-43mm-width-36mm-bore/" TargetMode="External"/><Relationship Id="rId29" Type="http://schemas.openxmlformats.org/officeDocument/2006/relationships/hyperlink" Target="https://www.gobilda.com/1120-series-u-channel-2-hole-72mm-length/" TargetMode="External"/><Relationship Id="rId24" Type="http://schemas.openxmlformats.org/officeDocument/2006/relationships/hyperlink" Target="https://www.gobilda.com/plastic-hub-mount-control-arm-72mm-length/" TargetMode="External"/><Relationship Id="rId40" Type="http://schemas.openxmlformats.org/officeDocument/2006/relationships/hyperlink" Target="https://www.gobilda.com/2913-series-steel-ball-linkage-female-m4-x-0-7mm-24-1mm-length-2-pack/" TargetMode="External"/><Relationship Id="rId45" Type="http://schemas.openxmlformats.org/officeDocument/2006/relationships/hyperlink" Target="https://www.gobilda.com/1500-series-plastic-spacer-6mm-id-x-8mm-od-1mm-thickness-12-pack/" TargetMode="External"/><Relationship Id="rId66" Type="http://schemas.openxmlformats.org/officeDocument/2006/relationships/hyperlink" Target="https://www.sparkfun.com/sparkfun-gps-rtk2-board-zed-f9p-qwiic-gps-15136.html" TargetMode="External"/><Relationship Id="rId87" Type="http://schemas.openxmlformats.org/officeDocument/2006/relationships/hyperlink" Target="https://ca.robotshop.com/products/rplidar-s2-360-laser-scanner-30-m" TargetMode="External"/><Relationship Id="rId61" Type="http://schemas.openxmlformats.org/officeDocument/2006/relationships/hyperlink" Target="https://ampedupmarine.com/collections/antennas/products/digital-antenna-1685-pw" TargetMode="External"/><Relationship Id="rId82" Type="http://schemas.openxmlformats.org/officeDocument/2006/relationships/hyperlink" Target="https://www.adafruit.com/product/5187" TargetMode="External"/><Relationship Id="rId19" Type="http://schemas.openxmlformats.org/officeDocument/2006/relationships/hyperlink" Target="https://www.gobilda.com/1111-series-angle-pattern-bracket-3-1/" TargetMode="External"/><Relationship Id="rId14" Type="http://schemas.openxmlformats.org/officeDocument/2006/relationships/hyperlink" Target="https://www.gobilda.com/2100-series-stainless-steel-round-shaft-8mm-diameter-50mm-length/" TargetMode="External"/><Relationship Id="rId30" Type="http://schemas.openxmlformats.org/officeDocument/2006/relationships/hyperlink" Target="https://www.gobilda.com/1604-series-2-side-2-post-pillow-block-32mm-bore/" TargetMode="External"/><Relationship Id="rId35" Type="http://schemas.openxmlformats.org/officeDocument/2006/relationships/hyperlink" Target="https://www.gobilda.com/1101-series-u-beam-41-hole-328mm-length/" TargetMode="External"/><Relationship Id="rId56" Type="http://schemas.openxmlformats.org/officeDocument/2006/relationships/hyperlink" Target="https://www.gobilda.com/2800-series-zinc-plated-steel-socket-head-screw-m4-x-0-7mm-8mm-length-25-pack/" TargetMode="External"/><Relationship Id="rId77" Type="http://schemas.openxmlformats.org/officeDocument/2006/relationships/hyperlink" Target="https://store.intelrealsense.com/buy-intel-realsense-depth-camera-d40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7"/>
  <sheetViews>
    <sheetView tabSelected="1" zoomScale="64" workbookViewId="0">
      <pane ySplit="1" topLeftCell="A103" activePane="bottomLeft" state="frozen"/>
      <selection pane="bottomLeft" activeCell="G99" sqref="G99"/>
    </sheetView>
  </sheetViews>
  <sheetFormatPr baseColWidth="10" defaultColWidth="8.83203125" defaultRowHeight="15" x14ac:dyDescent="0.2"/>
  <cols>
    <col min="1" max="1" width="26" customWidth="1"/>
    <col min="2" max="2" width="34" customWidth="1"/>
    <col min="3" max="3" width="70" customWidth="1"/>
    <col min="4" max="4" width="60" customWidth="1"/>
    <col min="5" max="5" width="14" customWidth="1"/>
    <col min="6" max="6" width="8" customWidth="1"/>
    <col min="7" max="7" width="15" customWidth="1"/>
    <col min="8" max="8" width="70" customWidth="1"/>
  </cols>
  <sheetData>
    <row r="1" spans="1:8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D2" s="3" t="s">
        <v>11</v>
      </c>
      <c r="E2" s="4">
        <v>24.99</v>
      </c>
      <c r="F2" s="5">
        <v>6</v>
      </c>
      <c r="G2" s="6">
        <f t="shared" ref="G2:G33" si="0">E2*F2</f>
        <v>149.94</v>
      </c>
      <c r="H2" s="7"/>
    </row>
    <row r="3" spans="1:8" x14ac:dyDescent="0.2">
      <c r="A3" s="2" t="s">
        <v>8</v>
      </c>
      <c r="B3" s="2" t="s">
        <v>12</v>
      </c>
      <c r="C3" s="2" t="s">
        <v>13</v>
      </c>
      <c r="D3" s="3" t="s">
        <v>14</v>
      </c>
      <c r="E3" s="4">
        <v>6.99</v>
      </c>
      <c r="F3" s="5">
        <v>6</v>
      </c>
      <c r="G3" s="6">
        <f t="shared" si="0"/>
        <v>41.94</v>
      </c>
      <c r="H3" s="7"/>
    </row>
    <row r="4" spans="1:8" x14ac:dyDescent="0.2">
      <c r="A4" s="2" t="s">
        <v>8</v>
      </c>
      <c r="B4" s="2" t="s">
        <v>15</v>
      </c>
      <c r="C4" s="2" t="s">
        <v>16</v>
      </c>
      <c r="D4" s="3" t="s">
        <v>17</v>
      </c>
      <c r="E4" s="4">
        <v>42.99</v>
      </c>
      <c r="F4" s="5">
        <v>6</v>
      </c>
      <c r="G4" s="6">
        <f t="shared" si="0"/>
        <v>257.94</v>
      </c>
      <c r="H4" s="7"/>
    </row>
    <row r="5" spans="1:8" x14ac:dyDescent="0.2">
      <c r="A5" s="2" t="s">
        <v>8</v>
      </c>
      <c r="B5" s="2" t="s">
        <v>18</v>
      </c>
      <c r="C5" s="2" t="s">
        <v>19</v>
      </c>
      <c r="D5" s="3" t="s">
        <v>20</v>
      </c>
      <c r="E5" s="4">
        <v>7.99</v>
      </c>
      <c r="F5" s="5">
        <v>6</v>
      </c>
      <c r="G5" s="6">
        <f t="shared" si="0"/>
        <v>47.94</v>
      </c>
      <c r="H5" s="7"/>
    </row>
    <row r="6" spans="1:8" x14ac:dyDescent="0.2">
      <c r="A6" s="2" t="s">
        <v>8</v>
      </c>
      <c r="B6" s="2" t="s">
        <v>21</v>
      </c>
      <c r="C6" s="2" t="s">
        <v>22</v>
      </c>
      <c r="D6" s="3" t="s">
        <v>23</v>
      </c>
      <c r="E6" s="4">
        <v>4.99</v>
      </c>
      <c r="F6" s="5">
        <v>6</v>
      </c>
      <c r="G6" s="6">
        <f t="shared" si="0"/>
        <v>29.94</v>
      </c>
      <c r="H6" s="7"/>
    </row>
    <row r="7" spans="1:8" x14ac:dyDescent="0.2">
      <c r="A7" s="2" t="s">
        <v>24</v>
      </c>
      <c r="B7" s="2" t="s">
        <v>25</v>
      </c>
      <c r="C7" s="2" t="s">
        <v>26</v>
      </c>
      <c r="D7" s="3" t="s">
        <v>27</v>
      </c>
      <c r="E7" s="4">
        <v>5.49</v>
      </c>
      <c r="F7" s="5">
        <v>4</v>
      </c>
      <c r="G7" s="6">
        <f t="shared" si="0"/>
        <v>21.96</v>
      </c>
      <c r="H7" s="7"/>
    </row>
    <row r="8" spans="1:8" x14ac:dyDescent="0.2">
      <c r="A8" s="2" t="s">
        <v>24</v>
      </c>
      <c r="B8" s="2" t="s">
        <v>28</v>
      </c>
      <c r="C8" s="2" t="s">
        <v>29</v>
      </c>
      <c r="D8" s="3" t="s">
        <v>30</v>
      </c>
      <c r="E8" s="4">
        <v>5.99</v>
      </c>
      <c r="F8" s="5">
        <v>4</v>
      </c>
      <c r="G8" s="6">
        <f t="shared" si="0"/>
        <v>23.96</v>
      </c>
      <c r="H8" s="7"/>
    </row>
    <row r="9" spans="1:8" x14ac:dyDescent="0.2">
      <c r="A9" s="2" t="s">
        <v>31</v>
      </c>
      <c r="B9" s="2" t="s">
        <v>32</v>
      </c>
      <c r="C9" s="2" t="s">
        <v>33</v>
      </c>
      <c r="D9" s="3" t="s">
        <v>34</v>
      </c>
      <c r="E9" s="4">
        <v>3.69</v>
      </c>
      <c r="F9" s="5">
        <v>2</v>
      </c>
      <c r="G9" s="6">
        <f t="shared" si="0"/>
        <v>7.38</v>
      </c>
      <c r="H9" s="7"/>
    </row>
    <row r="10" spans="1:8" x14ac:dyDescent="0.2">
      <c r="A10" s="2" t="s">
        <v>31</v>
      </c>
      <c r="B10" s="2" t="s">
        <v>35</v>
      </c>
      <c r="C10" s="2" t="s">
        <v>36</v>
      </c>
      <c r="D10" s="3" t="s">
        <v>37</v>
      </c>
      <c r="E10" s="4">
        <v>29.99</v>
      </c>
      <c r="F10" s="5">
        <v>4</v>
      </c>
      <c r="G10" s="6">
        <f t="shared" si="0"/>
        <v>119.96</v>
      </c>
      <c r="H10" s="7"/>
    </row>
    <row r="11" spans="1:8" x14ac:dyDescent="0.2">
      <c r="A11" s="2" t="s">
        <v>31</v>
      </c>
      <c r="B11" s="2" t="s">
        <v>38</v>
      </c>
      <c r="C11" s="2" t="s">
        <v>39</v>
      </c>
      <c r="D11" s="3" t="s">
        <v>40</v>
      </c>
      <c r="E11" s="4">
        <v>31.99</v>
      </c>
      <c r="F11" s="5">
        <v>4</v>
      </c>
      <c r="G11" s="6">
        <f t="shared" si="0"/>
        <v>127.96</v>
      </c>
      <c r="H11" s="7"/>
    </row>
    <row r="12" spans="1:8" x14ac:dyDescent="0.2">
      <c r="A12" s="2" t="s">
        <v>31</v>
      </c>
      <c r="B12" s="2" t="s">
        <v>41</v>
      </c>
      <c r="C12" s="2" t="s">
        <v>42</v>
      </c>
      <c r="D12" s="3" t="s">
        <v>43</v>
      </c>
      <c r="E12" s="4">
        <v>6.99</v>
      </c>
      <c r="F12" s="5">
        <v>2</v>
      </c>
      <c r="G12" s="6">
        <f t="shared" si="0"/>
        <v>13.98</v>
      </c>
      <c r="H12" s="7"/>
    </row>
    <row r="13" spans="1:8" x14ac:dyDescent="0.2">
      <c r="A13" s="2" t="s">
        <v>31</v>
      </c>
      <c r="B13" s="2" t="s">
        <v>44</v>
      </c>
      <c r="C13" s="2" t="s">
        <v>45</v>
      </c>
      <c r="D13" s="3" t="s">
        <v>46</v>
      </c>
      <c r="E13" s="4">
        <v>3.99</v>
      </c>
      <c r="F13" s="5">
        <v>2</v>
      </c>
      <c r="G13" s="6">
        <f t="shared" si="0"/>
        <v>7.98</v>
      </c>
      <c r="H13" s="7"/>
    </row>
    <row r="14" spans="1:8" x14ac:dyDescent="0.2">
      <c r="A14" s="2" t="s">
        <v>31</v>
      </c>
      <c r="B14" s="2" t="s">
        <v>47</v>
      </c>
      <c r="C14" s="2" t="s">
        <v>48</v>
      </c>
      <c r="D14" s="3" t="s">
        <v>49</v>
      </c>
      <c r="E14" s="4">
        <v>1.99</v>
      </c>
      <c r="F14" s="5">
        <v>4</v>
      </c>
      <c r="G14" s="6">
        <f t="shared" si="0"/>
        <v>7.96</v>
      </c>
      <c r="H14" s="7"/>
    </row>
    <row r="15" spans="1:8" x14ac:dyDescent="0.2">
      <c r="A15" s="2" t="s">
        <v>31</v>
      </c>
      <c r="B15" s="2" t="s">
        <v>50</v>
      </c>
      <c r="C15" s="2" t="s">
        <v>51</v>
      </c>
      <c r="D15" s="3" t="s">
        <v>52</v>
      </c>
      <c r="E15" s="4">
        <v>1.49</v>
      </c>
      <c r="F15" s="5">
        <v>2</v>
      </c>
      <c r="G15" s="6">
        <f t="shared" si="0"/>
        <v>2.98</v>
      </c>
      <c r="H15" s="7"/>
    </row>
    <row r="16" spans="1:8" x14ac:dyDescent="0.2">
      <c r="A16" s="2" t="s">
        <v>31</v>
      </c>
      <c r="B16" s="2" t="s">
        <v>53</v>
      </c>
      <c r="C16" s="2" t="s">
        <v>54</v>
      </c>
      <c r="D16" s="3" t="s">
        <v>55</v>
      </c>
      <c r="E16" s="4">
        <v>1.89</v>
      </c>
      <c r="F16" s="5">
        <v>4</v>
      </c>
      <c r="G16" s="6">
        <f t="shared" si="0"/>
        <v>7.56</v>
      </c>
      <c r="H16" s="7"/>
    </row>
    <row r="17" spans="1:8" x14ac:dyDescent="0.2">
      <c r="A17" s="2" t="s">
        <v>31</v>
      </c>
      <c r="B17" s="2" t="s">
        <v>56</v>
      </c>
      <c r="C17" s="2" t="s">
        <v>57</v>
      </c>
      <c r="D17" s="3" t="s">
        <v>58</v>
      </c>
      <c r="E17" s="4">
        <v>4.99</v>
      </c>
      <c r="F17" s="5">
        <v>4</v>
      </c>
      <c r="G17" s="6">
        <f t="shared" si="0"/>
        <v>19.96</v>
      </c>
      <c r="H17" s="7"/>
    </row>
    <row r="18" spans="1:8" x14ac:dyDescent="0.2">
      <c r="A18" s="2" t="s">
        <v>31</v>
      </c>
      <c r="B18" s="2" t="s">
        <v>59</v>
      </c>
      <c r="C18" s="2" t="s">
        <v>60</v>
      </c>
      <c r="D18" s="3" t="s">
        <v>61</v>
      </c>
      <c r="E18" s="4">
        <v>2.4900000000000002</v>
      </c>
      <c r="F18" s="5">
        <v>2</v>
      </c>
      <c r="G18" s="6">
        <f t="shared" si="0"/>
        <v>4.9800000000000004</v>
      </c>
      <c r="H18" s="7"/>
    </row>
    <row r="19" spans="1:8" x14ac:dyDescent="0.2">
      <c r="A19" s="2" t="s">
        <v>31</v>
      </c>
      <c r="B19" s="2" t="s">
        <v>62</v>
      </c>
      <c r="C19" s="2" t="s">
        <v>63</v>
      </c>
      <c r="D19" s="3" t="s">
        <v>64</v>
      </c>
      <c r="E19" s="4">
        <v>1.29</v>
      </c>
      <c r="F19" s="5">
        <v>4</v>
      </c>
      <c r="G19" s="6">
        <f t="shared" si="0"/>
        <v>5.16</v>
      </c>
      <c r="H19" s="7"/>
    </row>
    <row r="20" spans="1:8" x14ac:dyDescent="0.2">
      <c r="A20" s="2" t="s">
        <v>31</v>
      </c>
      <c r="B20" s="2" t="s">
        <v>65</v>
      </c>
      <c r="C20" s="2" t="s">
        <v>66</v>
      </c>
      <c r="D20" s="3" t="s">
        <v>67</v>
      </c>
      <c r="E20" s="4">
        <v>5.99</v>
      </c>
      <c r="F20" s="5">
        <v>2</v>
      </c>
      <c r="G20" s="6">
        <f t="shared" si="0"/>
        <v>11.98</v>
      </c>
      <c r="H20" s="7"/>
    </row>
    <row r="21" spans="1:8" x14ac:dyDescent="0.2">
      <c r="A21" s="2" t="s">
        <v>31</v>
      </c>
      <c r="B21" s="2" t="s">
        <v>68</v>
      </c>
      <c r="C21" s="2" t="s">
        <v>69</v>
      </c>
      <c r="D21" s="3" t="s">
        <v>70</v>
      </c>
      <c r="E21" s="4">
        <v>3.39</v>
      </c>
      <c r="F21" s="5">
        <v>6</v>
      </c>
      <c r="G21" s="6">
        <f t="shared" si="0"/>
        <v>20.34</v>
      </c>
      <c r="H21" s="7"/>
    </row>
    <row r="22" spans="1:8" x14ac:dyDescent="0.2">
      <c r="A22" s="2" t="s">
        <v>31</v>
      </c>
      <c r="B22" s="2" t="s">
        <v>71</v>
      </c>
      <c r="C22" s="2" t="s">
        <v>72</v>
      </c>
      <c r="D22" s="3" t="s">
        <v>73</v>
      </c>
      <c r="E22" s="4">
        <v>5.89</v>
      </c>
      <c r="F22" s="5">
        <v>2</v>
      </c>
      <c r="G22" s="6">
        <f t="shared" si="0"/>
        <v>11.78</v>
      </c>
      <c r="H22" s="7"/>
    </row>
    <row r="23" spans="1:8" x14ac:dyDescent="0.2">
      <c r="A23" s="2" t="s">
        <v>31</v>
      </c>
      <c r="B23" s="2" t="s">
        <v>74</v>
      </c>
      <c r="C23" s="2" t="s">
        <v>75</v>
      </c>
      <c r="D23" s="3" t="s">
        <v>76</v>
      </c>
      <c r="E23" s="4">
        <v>2.99</v>
      </c>
      <c r="F23" s="5">
        <v>4</v>
      </c>
      <c r="G23" s="6">
        <f t="shared" si="0"/>
        <v>11.96</v>
      </c>
      <c r="H23" s="7"/>
    </row>
    <row r="24" spans="1:8" x14ac:dyDescent="0.2">
      <c r="A24" s="2" t="s">
        <v>31</v>
      </c>
      <c r="B24" s="2" t="s">
        <v>77</v>
      </c>
      <c r="C24" s="2" t="s">
        <v>78</v>
      </c>
      <c r="D24" s="3" t="s">
        <v>79</v>
      </c>
      <c r="E24" s="4">
        <v>3.49</v>
      </c>
      <c r="F24" s="5">
        <v>1</v>
      </c>
      <c r="G24" s="6">
        <f t="shared" si="0"/>
        <v>3.49</v>
      </c>
      <c r="H24" s="7"/>
    </row>
    <row r="25" spans="1:8" x14ac:dyDescent="0.2">
      <c r="A25" s="2" t="s">
        <v>31</v>
      </c>
      <c r="B25" s="2" t="s">
        <v>80</v>
      </c>
      <c r="C25" s="2" t="s">
        <v>81</v>
      </c>
      <c r="D25" s="3" t="s">
        <v>82</v>
      </c>
      <c r="E25" s="4">
        <v>4.99</v>
      </c>
      <c r="F25" s="5">
        <v>4</v>
      </c>
      <c r="G25" s="6">
        <f t="shared" si="0"/>
        <v>19.96</v>
      </c>
      <c r="H25" s="7"/>
    </row>
    <row r="26" spans="1:8" x14ac:dyDescent="0.2">
      <c r="A26" s="2" t="s">
        <v>31</v>
      </c>
      <c r="B26" s="2" t="s">
        <v>83</v>
      </c>
      <c r="C26" s="2" t="s">
        <v>84</v>
      </c>
      <c r="D26" s="3" t="s">
        <v>85</v>
      </c>
      <c r="E26" s="4">
        <v>3.49</v>
      </c>
      <c r="F26" s="5">
        <v>1</v>
      </c>
      <c r="G26" s="6">
        <f t="shared" si="0"/>
        <v>3.49</v>
      </c>
      <c r="H26" s="7"/>
    </row>
    <row r="27" spans="1:8" x14ac:dyDescent="0.2">
      <c r="A27" s="2" t="s">
        <v>31</v>
      </c>
      <c r="B27" s="2" t="s">
        <v>86</v>
      </c>
      <c r="C27" s="2" t="s">
        <v>87</v>
      </c>
      <c r="D27" s="3" t="s">
        <v>88</v>
      </c>
      <c r="E27" s="4">
        <v>2.99</v>
      </c>
      <c r="F27" s="5">
        <v>1</v>
      </c>
      <c r="G27" s="6">
        <f t="shared" si="0"/>
        <v>2.99</v>
      </c>
      <c r="H27" s="7"/>
    </row>
    <row r="28" spans="1:8" x14ac:dyDescent="0.2">
      <c r="A28" s="2" t="s">
        <v>31</v>
      </c>
      <c r="B28" s="2" t="s">
        <v>89</v>
      </c>
      <c r="C28" s="2" t="s">
        <v>90</v>
      </c>
      <c r="D28" s="3" t="s">
        <v>91</v>
      </c>
      <c r="E28" s="4">
        <v>5.99</v>
      </c>
      <c r="F28" s="5">
        <v>2</v>
      </c>
      <c r="G28" s="6">
        <f t="shared" si="0"/>
        <v>11.98</v>
      </c>
      <c r="H28" s="7"/>
    </row>
    <row r="29" spans="1:8" x14ac:dyDescent="0.2">
      <c r="A29" s="2" t="s">
        <v>92</v>
      </c>
      <c r="B29" s="2" t="s">
        <v>93</v>
      </c>
      <c r="C29" s="2" t="s">
        <v>94</v>
      </c>
      <c r="D29" s="3" t="s">
        <v>95</v>
      </c>
      <c r="E29" s="4">
        <v>4.99</v>
      </c>
      <c r="F29" s="5">
        <v>2</v>
      </c>
      <c r="G29" s="6">
        <f t="shared" si="0"/>
        <v>9.98</v>
      </c>
      <c r="H29" s="7"/>
    </row>
    <row r="30" spans="1:8" x14ac:dyDescent="0.2">
      <c r="A30" s="2" t="s">
        <v>92</v>
      </c>
      <c r="B30" s="2" t="s">
        <v>21</v>
      </c>
      <c r="C30" s="2" t="s">
        <v>22</v>
      </c>
      <c r="D30" s="3" t="s">
        <v>23</v>
      </c>
      <c r="E30" s="4">
        <v>4.99</v>
      </c>
      <c r="F30" s="5">
        <v>2</v>
      </c>
      <c r="G30" s="6">
        <f t="shared" si="0"/>
        <v>9.98</v>
      </c>
      <c r="H30" s="7"/>
    </row>
    <row r="31" spans="1:8" x14ac:dyDescent="0.2">
      <c r="A31" s="2" t="s">
        <v>92</v>
      </c>
      <c r="B31" s="2" t="s">
        <v>96</v>
      </c>
      <c r="C31" s="2" t="s">
        <v>97</v>
      </c>
      <c r="D31" s="3" t="s">
        <v>98</v>
      </c>
      <c r="E31" s="4">
        <v>12.99</v>
      </c>
      <c r="F31" s="5">
        <v>4</v>
      </c>
      <c r="G31" s="6">
        <f t="shared" si="0"/>
        <v>51.96</v>
      </c>
      <c r="H31" s="7"/>
    </row>
    <row r="32" spans="1:8" x14ac:dyDescent="0.2">
      <c r="A32" s="2" t="s">
        <v>92</v>
      </c>
      <c r="B32" s="2" t="s">
        <v>99</v>
      </c>
      <c r="C32" s="2" t="s">
        <v>100</v>
      </c>
      <c r="D32" s="3" t="s">
        <v>101</v>
      </c>
      <c r="E32" s="4">
        <v>3.49</v>
      </c>
      <c r="F32" s="5">
        <v>3</v>
      </c>
      <c r="G32" s="6">
        <f t="shared" si="0"/>
        <v>10.47</v>
      </c>
      <c r="H32" s="7"/>
    </row>
    <row r="33" spans="1:8" x14ac:dyDescent="0.2">
      <c r="A33" s="2" t="s">
        <v>92</v>
      </c>
      <c r="B33" s="2" t="s">
        <v>102</v>
      </c>
      <c r="C33" s="2" t="s">
        <v>103</v>
      </c>
      <c r="D33" s="3" t="s">
        <v>104</v>
      </c>
      <c r="E33" s="4">
        <v>5.09</v>
      </c>
      <c r="F33" s="5">
        <v>7</v>
      </c>
      <c r="G33" s="6">
        <f t="shared" si="0"/>
        <v>35.629999999999995</v>
      </c>
      <c r="H33" s="7"/>
    </row>
    <row r="34" spans="1:8" x14ac:dyDescent="0.2">
      <c r="A34" s="2" t="s">
        <v>92</v>
      </c>
      <c r="B34" s="2" t="s">
        <v>105</v>
      </c>
      <c r="C34" s="2" t="s">
        <v>106</v>
      </c>
      <c r="D34" s="3" t="s">
        <v>107</v>
      </c>
      <c r="E34" s="4">
        <v>6.99</v>
      </c>
      <c r="F34" s="5">
        <v>4</v>
      </c>
      <c r="G34" s="6">
        <f t="shared" ref="G34:G65" si="1">E34*F34</f>
        <v>27.96</v>
      </c>
      <c r="H34" s="7"/>
    </row>
    <row r="35" spans="1:8" x14ac:dyDescent="0.2">
      <c r="A35" s="2" t="s">
        <v>92</v>
      </c>
      <c r="B35" s="2" t="s">
        <v>108</v>
      </c>
      <c r="C35" s="2" t="s">
        <v>109</v>
      </c>
      <c r="D35" s="3" t="s">
        <v>110</v>
      </c>
      <c r="E35" s="4">
        <v>2.99</v>
      </c>
      <c r="F35" s="5">
        <v>8</v>
      </c>
      <c r="G35" s="6">
        <f t="shared" si="1"/>
        <v>23.92</v>
      </c>
      <c r="H35" s="7"/>
    </row>
    <row r="36" spans="1:8" x14ac:dyDescent="0.2">
      <c r="A36" s="2" t="s">
        <v>92</v>
      </c>
      <c r="B36" s="2" t="s">
        <v>111</v>
      </c>
      <c r="C36" s="2" t="s">
        <v>112</v>
      </c>
      <c r="D36" s="3" t="s">
        <v>113</v>
      </c>
      <c r="E36" s="4">
        <v>3.89</v>
      </c>
      <c r="F36" s="5">
        <v>1</v>
      </c>
      <c r="G36" s="6">
        <f t="shared" si="1"/>
        <v>3.89</v>
      </c>
      <c r="H36" s="7"/>
    </row>
    <row r="37" spans="1:8" x14ac:dyDescent="0.2">
      <c r="A37" s="2" t="s">
        <v>92</v>
      </c>
      <c r="B37" s="2" t="s">
        <v>114</v>
      </c>
      <c r="C37" s="2" t="s">
        <v>115</v>
      </c>
      <c r="D37" s="3" t="s">
        <v>116</v>
      </c>
      <c r="E37" s="4">
        <v>2.4900000000000002</v>
      </c>
      <c r="F37" s="5">
        <v>2</v>
      </c>
      <c r="G37" s="6">
        <f t="shared" si="1"/>
        <v>4.9800000000000004</v>
      </c>
      <c r="H37" s="7"/>
    </row>
    <row r="38" spans="1:8" x14ac:dyDescent="0.2">
      <c r="A38" s="2" t="s">
        <v>92</v>
      </c>
      <c r="B38" s="2" t="s">
        <v>117</v>
      </c>
      <c r="C38" s="2" t="s">
        <v>118</v>
      </c>
      <c r="D38" s="3" t="s">
        <v>119</v>
      </c>
      <c r="E38" s="4">
        <v>5.99</v>
      </c>
      <c r="F38" s="5">
        <v>2</v>
      </c>
      <c r="G38" s="6">
        <f t="shared" si="1"/>
        <v>11.98</v>
      </c>
      <c r="H38" s="7"/>
    </row>
    <row r="39" spans="1:8" x14ac:dyDescent="0.2">
      <c r="A39" s="2" t="s">
        <v>92</v>
      </c>
      <c r="B39" s="2" t="s">
        <v>120</v>
      </c>
      <c r="C39" s="2" t="s">
        <v>121</v>
      </c>
      <c r="D39" s="3" t="s">
        <v>122</v>
      </c>
      <c r="E39" s="4">
        <v>4.99</v>
      </c>
      <c r="F39" s="5">
        <v>1</v>
      </c>
      <c r="G39" s="6">
        <f t="shared" si="1"/>
        <v>4.99</v>
      </c>
      <c r="H39" s="7"/>
    </row>
    <row r="40" spans="1:8" x14ac:dyDescent="0.2">
      <c r="A40" s="2" t="s">
        <v>92</v>
      </c>
      <c r="B40" s="2" t="s">
        <v>123</v>
      </c>
      <c r="C40" s="2" t="s">
        <v>124</v>
      </c>
      <c r="D40" s="3" t="s">
        <v>125</v>
      </c>
      <c r="E40" s="4">
        <v>1.49</v>
      </c>
      <c r="F40" s="5">
        <v>1</v>
      </c>
      <c r="G40" s="6">
        <f t="shared" si="1"/>
        <v>1.49</v>
      </c>
      <c r="H40" s="7"/>
    </row>
    <row r="41" spans="1:8" x14ac:dyDescent="0.2">
      <c r="A41" s="2" t="s">
        <v>92</v>
      </c>
      <c r="B41" s="2" t="s">
        <v>126</v>
      </c>
      <c r="C41" s="2" t="s">
        <v>127</v>
      </c>
      <c r="D41" s="3" t="s">
        <v>128</v>
      </c>
      <c r="E41" s="4">
        <v>4.99</v>
      </c>
      <c r="F41" s="5">
        <v>2</v>
      </c>
      <c r="G41" s="6">
        <f t="shared" si="1"/>
        <v>9.98</v>
      </c>
      <c r="H41" s="7"/>
    </row>
    <row r="42" spans="1:8" x14ac:dyDescent="0.2">
      <c r="A42" s="2" t="s">
        <v>92</v>
      </c>
      <c r="B42" s="2" t="s">
        <v>129</v>
      </c>
      <c r="C42" s="2" t="s">
        <v>130</v>
      </c>
      <c r="D42" s="3" t="s">
        <v>131</v>
      </c>
      <c r="E42" s="4">
        <v>12.99</v>
      </c>
      <c r="F42" s="5">
        <v>1</v>
      </c>
      <c r="G42" s="6">
        <f t="shared" si="1"/>
        <v>12.99</v>
      </c>
      <c r="H42" s="7"/>
    </row>
    <row r="43" spans="1:8" x14ac:dyDescent="0.2">
      <c r="A43" s="2" t="s">
        <v>92</v>
      </c>
      <c r="B43" s="2" t="s">
        <v>132</v>
      </c>
      <c r="C43" s="2" t="s">
        <v>133</v>
      </c>
      <c r="D43" s="3" t="s">
        <v>134</v>
      </c>
      <c r="E43" s="4">
        <v>4.99</v>
      </c>
      <c r="F43" s="5">
        <v>2</v>
      </c>
      <c r="G43" s="6">
        <f t="shared" si="1"/>
        <v>9.98</v>
      </c>
      <c r="H43" s="7"/>
    </row>
    <row r="44" spans="1:8" x14ac:dyDescent="0.2">
      <c r="A44" s="2" t="s">
        <v>92</v>
      </c>
      <c r="B44" s="2" t="s">
        <v>135</v>
      </c>
      <c r="C44" s="2" t="s">
        <v>136</v>
      </c>
      <c r="D44" s="3" t="s">
        <v>137</v>
      </c>
      <c r="E44" s="4">
        <v>2.4900000000000002</v>
      </c>
      <c r="F44" s="5">
        <v>2</v>
      </c>
      <c r="G44" s="6">
        <f t="shared" si="1"/>
        <v>4.9800000000000004</v>
      </c>
      <c r="H44" s="7"/>
    </row>
    <row r="45" spans="1:8" x14ac:dyDescent="0.2">
      <c r="A45" s="2" t="s">
        <v>92</v>
      </c>
      <c r="B45" s="2" t="s">
        <v>138</v>
      </c>
      <c r="C45" s="2" t="s">
        <v>139</v>
      </c>
      <c r="D45" s="3" t="s">
        <v>140</v>
      </c>
      <c r="E45" s="4">
        <v>3.49</v>
      </c>
      <c r="F45" s="5">
        <v>2</v>
      </c>
      <c r="G45" s="6">
        <f t="shared" si="1"/>
        <v>6.98</v>
      </c>
      <c r="H45" s="7"/>
    </row>
    <row r="46" spans="1:8" x14ac:dyDescent="0.2">
      <c r="A46" s="2" t="s">
        <v>92</v>
      </c>
      <c r="B46" s="2" t="s">
        <v>141</v>
      </c>
      <c r="C46" s="2" t="s">
        <v>142</v>
      </c>
      <c r="D46" s="3" t="s">
        <v>143</v>
      </c>
      <c r="E46" s="4">
        <v>2.79</v>
      </c>
      <c r="F46" s="5">
        <v>1</v>
      </c>
      <c r="G46" s="6">
        <f t="shared" si="1"/>
        <v>2.79</v>
      </c>
      <c r="H46" s="7"/>
    </row>
    <row r="47" spans="1:8" x14ac:dyDescent="0.2">
      <c r="A47" s="2" t="s">
        <v>92</v>
      </c>
      <c r="B47" s="2" t="s">
        <v>62</v>
      </c>
      <c r="C47" s="2" t="s">
        <v>144</v>
      </c>
      <c r="D47" s="3" t="s">
        <v>64</v>
      </c>
      <c r="E47" s="4">
        <v>1.29</v>
      </c>
      <c r="F47" s="5">
        <v>4</v>
      </c>
      <c r="G47" s="6">
        <f t="shared" si="1"/>
        <v>5.16</v>
      </c>
      <c r="H47" s="7"/>
    </row>
    <row r="48" spans="1:8" x14ac:dyDescent="0.2">
      <c r="A48" s="2" t="s">
        <v>92</v>
      </c>
      <c r="B48" s="2" t="s">
        <v>145</v>
      </c>
      <c r="C48" s="2" t="s">
        <v>146</v>
      </c>
      <c r="D48" s="3" t="s">
        <v>147</v>
      </c>
      <c r="E48" s="4">
        <v>1.79</v>
      </c>
      <c r="F48" s="5">
        <v>2</v>
      </c>
      <c r="G48" s="6">
        <f t="shared" si="1"/>
        <v>3.58</v>
      </c>
      <c r="H48" s="7"/>
    </row>
    <row r="49" spans="1:8" x14ac:dyDescent="0.2">
      <c r="A49" s="2" t="s">
        <v>148</v>
      </c>
      <c r="B49" s="2" t="s">
        <v>149</v>
      </c>
      <c r="C49" s="2" t="s">
        <v>150</v>
      </c>
      <c r="D49" s="3" t="s">
        <v>151</v>
      </c>
      <c r="E49" s="4">
        <v>9.99</v>
      </c>
      <c r="F49" s="5">
        <v>1</v>
      </c>
      <c r="G49" s="6">
        <f t="shared" si="1"/>
        <v>9.99</v>
      </c>
      <c r="H49" s="7"/>
    </row>
    <row r="50" spans="1:8" x14ac:dyDescent="0.2">
      <c r="A50" s="2" t="s">
        <v>148</v>
      </c>
      <c r="B50" s="2" t="s">
        <v>152</v>
      </c>
      <c r="C50" s="2" t="s">
        <v>153</v>
      </c>
      <c r="D50" s="3" t="s">
        <v>154</v>
      </c>
      <c r="E50" s="4">
        <v>1.99</v>
      </c>
      <c r="F50" s="5">
        <v>1</v>
      </c>
      <c r="G50" s="6">
        <f t="shared" si="1"/>
        <v>1.99</v>
      </c>
      <c r="H50" s="7"/>
    </row>
    <row r="51" spans="1:8" x14ac:dyDescent="0.2">
      <c r="A51" s="2" t="s">
        <v>148</v>
      </c>
      <c r="B51" s="2" t="s">
        <v>155</v>
      </c>
      <c r="C51" s="2" t="s">
        <v>156</v>
      </c>
      <c r="D51" s="3" t="s">
        <v>157</v>
      </c>
      <c r="E51" s="4">
        <v>1.99</v>
      </c>
      <c r="F51" s="5">
        <v>1</v>
      </c>
      <c r="G51" s="6">
        <f t="shared" si="1"/>
        <v>1.99</v>
      </c>
      <c r="H51" s="7"/>
    </row>
    <row r="52" spans="1:8" x14ac:dyDescent="0.2">
      <c r="A52" s="2" t="s">
        <v>148</v>
      </c>
      <c r="B52" s="2" t="s">
        <v>158</v>
      </c>
      <c r="C52" s="2" t="s">
        <v>159</v>
      </c>
      <c r="D52" s="3" t="s">
        <v>160</v>
      </c>
      <c r="E52" s="4">
        <v>2.4900000000000002</v>
      </c>
      <c r="F52" s="5">
        <v>4</v>
      </c>
      <c r="G52" s="6">
        <f t="shared" si="1"/>
        <v>9.9600000000000009</v>
      </c>
      <c r="H52" s="7"/>
    </row>
    <row r="53" spans="1:8" x14ac:dyDescent="0.2">
      <c r="A53" s="2" t="s">
        <v>148</v>
      </c>
      <c r="B53" s="2" t="s">
        <v>161</v>
      </c>
      <c r="C53" s="2" t="s">
        <v>162</v>
      </c>
      <c r="D53" s="3" t="s">
        <v>163</v>
      </c>
      <c r="E53" s="4">
        <v>2.99</v>
      </c>
      <c r="F53" s="5">
        <v>1</v>
      </c>
      <c r="G53" s="6">
        <f t="shared" si="1"/>
        <v>2.99</v>
      </c>
      <c r="H53" s="7"/>
    </row>
    <row r="54" spans="1:8" x14ac:dyDescent="0.2">
      <c r="A54" s="2" t="s">
        <v>148</v>
      </c>
      <c r="B54" s="2" t="s">
        <v>164</v>
      </c>
      <c r="C54" s="2" t="s">
        <v>165</v>
      </c>
      <c r="D54" s="3" t="s">
        <v>166</v>
      </c>
      <c r="E54" s="4">
        <v>2.99</v>
      </c>
      <c r="F54" s="5">
        <v>2</v>
      </c>
      <c r="G54" s="6">
        <f t="shared" si="1"/>
        <v>5.98</v>
      </c>
      <c r="H54" s="7"/>
    </row>
    <row r="55" spans="1:8" x14ac:dyDescent="0.2">
      <c r="A55" s="2" t="s">
        <v>148</v>
      </c>
      <c r="B55" s="2" t="s">
        <v>167</v>
      </c>
      <c r="C55" s="2" t="s">
        <v>168</v>
      </c>
      <c r="D55" s="3" t="s">
        <v>169</v>
      </c>
      <c r="E55" s="4">
        <v>3.39</v>
      </c>
      <c r="F55" s="5">
        <v>3</v>
      </c>
      <c r="G55" s="6">
        <f t="shared" si="1"/>
        <v>10.17</v>
      </c>
      <c r="H55" s="7"/>
    </row>
    <row r="56" spans="1:8" x14ac:dyDescent="0.2">
      <c r="A56" s="2" t="s">
        <v>148</v>
      </c>
      <c r="B56" s="2" t="s">
        <v>170</v>
      </c>
      <c r="C56" s="2" t="s">
        <v>171</v>
      </c>
      <c r="D56" s="3" t="s">
        <v>172</v>
      </c>
      <c r="E56" s="4">
        <v>3.79</v>
      </c>
      <c r="F56" s="5">
        <v>2</v>
      </c>
      <c r="G56" s="6">
        <f t="shared" si="1"/>
        <v>7.58</v>
      </c>
      <c r="H56" s="7"/>
    </row>
    <row r="57" spans="1:8" x14ac:dyDescent="0.2">
      <c r="A57" s="2" t="s">
        <v>148</v>
      </c>
      <c r="B57" s="2" t="s">
        <v>173</v>
      </c>
      <c r="C57" s="2" t="s">
        <v>174</v>
      </c>
      <c r="D57" s="3" t="s">
        <v>175</v>
      </c>
      <c r="E57" s="4">
        <v>3.19</v>
      </c>
      <c r="F57" s="5">
        <v>2</v>
      </c>
      <c r="G57" s="6">
        <f t="shared" si="1"/>
        <v>6.38</v>
      </c>
      <c r="H57" s="7"/>
    </row>
    <row r="58" spans="1:8" x14ac:dyDescent="0.2">
      <c r="A58" s="2" t="s">
        <v>148</v>
      </c>
      <c r="B58" s="2" t="s">
        <v>176</v>
      </c>
      <c r="C58" s="2" t="s">
        <v>177</v>
      </c>
      <c r="D58" s="3" t="s">
        <v>178</v>
      </c>
      <c r="E58" s="4">
        <v>3.19</v>
      </c>
      <c r="F58" s="5">
        <v>3</v>
      </c>
      <c r="G58" s="6">
        <f t="shared" si="1"/>
        <v>9.57</v>
      </c>
      <c r="H58" s="7"/>
    </row>
    <row r="59" spans="1:8" x14ac:dyDescent="0.2">
      <c r="A59" s="2" t="s">
        <v>148</v>
      </c>
      <c r="B59" s="2" t="s">
        <v>179</v>
      </c>
      <c r="C59" s="2" t="s">
        <v>180</v>
      </c>
      <c r="D59" s="3" t="s">
        <v>181</v>
      </c>
      <c r="E59" s="4">
        <v>3.19</v>
      </c>
      <c r="F59" s="5">
        <v>1</v>
      </c>
      <c r="G59" s="6">
        <f t="shared" si="1"/>
        <v>3.19</v>
      </c>
      <c r="H59" s="7"/>
    </row>
    <row r="60" spans="1:8" x14ac:dyDescent="0.2">
      <c r="A60" s="2" t="s">
        <v>148</v>
      </c>
      <c r="B60" s="2" t="s">
        <v>182</v>
      </c>
      <c r="C60" s="2" t="s">
        <v>183</v>
      </c>
      <c r="D60" s="3" t="s">
        <v>184</v>
      </c>
      <c r="E60" s="4">
        <v>3.19</v>
      </c>
      <c r="F60" s="5">
        <v>2</v>
      </c>
      <c r="G60" s="6">
        <f t="shared" si="1"/>
        <v>6.38</v>
      </c>
      <c r="H60" s="7"/>
    </row>
    <row r="61" spans="1:8" x14ac:dyDescent="0.2">
      <c r="A61" s="2" t="s">
        <v>148</v>
      </c>
      <c r="B61" s="2" t="s">
        <v>185</v>
      </c>
      <c r="C61" s="2" t="s">
        <v>186</v>
      </c>
      <c r="D61" s="3" t="s">
        <v>187</v>
      </c>
      <c r="E61" s="4">
        <v>3.09</v>
      </c>
      <c r="F61" s="5">
        <v>1</v>
      </c>
      <c r="G61" s="6">
        <f t="shared" si="1"/>
        <v>3.09</v>
      </c>
      <c r="H61" s="7"/>
    </row>
    <row r="62" spans="1:8" x14ac:dyDescent="0.2">
      <c r="A62" s="2" t="s">
        <v>188</v>
      </c>
      <c r="B62" s="2" t="s">
        <v>189</v>
      </c>
      <c r="C62" s="2"/>
      <c r="D62" s="3" t="s">
        <v>190</v>
      </c>
      <c r="E62" s="4">
        <v>387</v>
      </c>
      <c r="F62" s="5">
        <v>2</v>
      </c>
      <c r="G62" s="6">
        <f t="shared" si="1"/>
        <v>774</v>
      </c>
      <c r="H62" s="7"/>
    </row>
    <row r="63" spans="1:8" x14ac:dyDescent="0.2">
      <c r="A63" s="2" t="s">
        <v>191</v>
      </c>
      <c r="B63" s="2" t="s">
        <v>192</v>
      </c>
      <c r="C63" s="2" t="s">
        <v>193</v>
      </c>
      <c r="D63" s="3" t="s">
        <v>194</v>
      </c>
      <c r="E63" s="4">
        <v>25</v>
      </c>
      <c r="F63" s="5">
        <v>6</v>
      </c>
      <c r="G63" s="6">
        <f t="shared" si="1"/>
        <v>150</v>
      </c>
      <c r="H63" s="7" t="s">
        <v>195</v>
      </c>
    </row>
    <row r="64" spans="1:8" x14ac:dyDescent="0.2">
      <c r="A64" s="2" t="s">
        <v>191</v>
      </c>
      <c r="B64" s="2" t="s">
        <v>196</v>
      </c>
      <c r="C64" s="2" t="s">
        <v>197</v>
      </c>
      <c r="D64" s="3" t="s">
        <v>198</v>
      </c>
      <c r="E64" s="4">
        <v>15</v>
      </c>
      <c r="F64" s="5">
        <v>4</v>
      </c>
      <c r="G64" s="6">
        <f t="shared" si="1"/>
        <v>60</v>
      </c>
      <c r="H64" s="7" t="s">
        <v>199</v>
      </c>
    </row>
    <row r="65" spans="1:8" x14ac:dyDescent="0.2">
      <c r="A65" s="2" t="s">
        <v>191</v>
      </c>
      <c r="B65" s="2" t="s">
        <v>200</v>
      </c>
      <c r="C65" s="2" t="s">
        <v>201</v>
      </c>
      <c r="D65" s="3" t="s">
        <v>198</v>
      </c>
      <c r="E65" s="4">
        <v>15</v>
      </c>
      <c r="F65" s="5">
        <v>2</v>
      </c>
      <c r="G65" s="6">
        <f t="shared" si="1"/>
        <v>30</v>
      </c>
      <c r="H65" s="7" t="s">
        <v>202</v>
      </c>
    </row>
    <row r="66" spans="1:8" ht="30" x14ac:dyDescent="0.2">
      <c r="A66" s="2" t="s">
        <v>191</v>
      </c>
      <c r="B66" s="2" t="s">
        <v>203</v>
      </c>
      <c r="C66" s="2" t="s">
        <v>204</v>
      </c>
      <c r="D66" s="3" t="s">
        <v>205</v>
      </c>
      <c r="E66" s="4">
        <v>40</v>
      </c>
      <c r="F66" s="5">
        <v>1</v>
      </c>
      <c r="G66" s="6">
        <f t="shared" ref="G66:G97" si="2">E66*F66</f>
        <v>40</v>
      </c>
      <c r="H66" s="7" t="s">
        <v>206</v>
      </c>
    </row>
    <row r="67" spans="1:8" ht="30" x14ac:dyDescent="0.2">
      <c r="A67" s="2" t="s">
        <v>191</v>
      </c>
      <c r="B67" s="2" t="s">
        <v>207</v>
      </c>
      <c r="C67" s="2" t="s">
        <v>208</v>
      </c>
      <c r="D67" s="3" t="s">
        <v>209</v>
      </c>
      <c r="E67" s="4">
        <v>300</v>
      </c>
      <c r="F67" s="5">
        <v>1</v>
      </c>
      <c r="G67" s="6">
        <f t="shared" si="2"/>
        <v>300</v>
      </c>
      <c r="H67" s="7" t="s">
        <v>210</v>
      </c>
    </row>
    <row r="68" spans="1:8" x14ac:dyDescent="0.2">
      <c r="A68" s="2" t="s">
        <v>191</v>
      </c>
      <c r="B68" s="2" t="s">
        <v>211</v>
      </c>
      <c r="C68" s="2" t="s">
        <v>212</v>
      </c>
      <c r="D68" s="3" t="s">
        <v>213</v>
      </c>
      <c r="E68" s="4">
        <v>200</v>
      </c>
      <c r="F68" s="5">
        <v>1</v>
      </c>
      <c r="G68" s="6">
        <f t="shared" si="2"/>
        <v>200</v>
      </c>
      <c r="H68" s="7" t="s">
        <v>214</v>
      </c>
    </row>
    <row r="69" spans="1:8" ht="30" x14ac:dyDescent="0.2">
      <c r="A69" s="2" t="s">
        <v>215</v>
      </c>
      <c r="B69" s="2" t="s">
        <v>216</v>
      </c>
      <c r="C69" s="2" t="s">
        <v>217</v>
      </c>
      <c r="D69" s="3" t="s">
        <v>218</v>
      </c>
      <c r="E69" s="4">
        <v>80</v>
      </c>
      <c r="F69" s="5">
        <v>1</v>
      </c>
      <c r="G69" s="6">
        <f t="shared" si="2"/>
        <v>80</v>
      </c>
      <c r="H69" s="7" t="s">
        <v>219</v>
      </c>
    </row>
    <row r="70" spans="1:8" ht="30" x14ac:dyDescent="0.2">
      <c r="A70" s="2" t="s">
        <v>215</v>
      </c>
      <c r="B70" s="2" t="s">
        <v>220</v>
      </c>
      <c r="C70" s="2" t="s">
        <v>221</v>
      </c>
      <c r="D70" s="3" t="s">
        <v>222</v>
      </c>
      <c r="E70" s="4">
        <v>50</v>
      </c>
      <c r="F70" s="5">
        <v>1</v>
      </c>
      <c r="G70" s="6">
        <f t="shared" si="2"/>
        <v>50</v>
      </c>
      <c r="H70" s="7" t="s">
        <v>223</v>
      </c>
    </row>
    <row r="71" spans="1:8" ht="30" x14ac:dyDescent="0.2">
      <c r="A71" s="2" t="s">
        <v>215</v>
      </c>
      <c r="B71" s="2" t="s">
        <v>224</v>
      </c>
      <c r="C71" s="2" t="s">
        <v>225</v>
      </c>
      <c r="D71" s="3" t="s">
        <v>226</v>
      </c>
      <c r="E71" s="4">
        <v>80</v>
      </c>
      <c r="F71" s="5">
        <v>1</v>
      </c>
      <c r="G71" s="6">
        <f t="shared" si="2"/>
        <v>80</v>
      </c>
      <c r="H71" s="7" t="s">
        <v>227</v>
      </c>
    </row>
    <row r="72" spans="1:8" ht="30" x14ac:dyDescent="0.2">
      <c r="A72" s="2" t="s">
        <v>215</v>
      </c>
      <c r="B72" s="2" t="s">
        <v>228</v>
      </c>
      <c r="C72" s="2" t="s">
        <v>229</v>
      </c>
      <c r="D72" s="2"/>
      <c r="E72" s="4">
        <v>400</v>
      </c>
      <c r="F72" s="5">
        <v>1</v>
      </c>
      <c r="G72" s="6">
        <f t="shared" si="2"/>
        <v>400</v>
      </c>
      <c r="H72" s="7" t="s">
        <v>230</v>
      </c>
    </row>
    <row r="73" spans="1:8" ht="30" x14ac:dyDescent="0.2">
      <c r="A73" s="2" t="s">
        <v>215</v>
      </c>
      <c r="B73" s="2" t="s">
        <v>231</v>
      </c>
      <c r="C73" s="2" t="s">
        <v>232</v>
      </c>
      <c r="D73" s="3" t="s">
        <v>233</v>
      </c>
      <c r="E73" s="4">
        <v>550</v>
      </c>
      <c r="F73" s="5">
        <v>1</v>
      </c>
      <c r="G73" s="6">
        <f t="shared" si="2"/>
        <v>550</v>
      </c>
      <c r="H73" s="7" t="s">
        <v>234</v>
      </c>
    </row>
    <row r="74" spans="1:8" ht="30" x14ac:dyDescent="0.2">
      <c r="A74" s="2" t="s">
        <v>235</v>
      </c>
      <c r="B74" s="2" t="s">
        <v>236</v>
      </c>
      <c r="C74" s="2" t="s">
        <v>237</v>
      </c>
      <c r="D74" s="3" t="s">
        <v>238</v>
      </c>
      <c r="E74" s="4">
        <v>15</v>
      </c>
      <c r="F74" s="5">
        <v>8</v>
      </c>
      <c r="G74" s="6">
        <f t="shared" si="2"/>
        <v>120</v>
      </c>
      <c r="H74" s="7" t="s">
        <v>239</v>
      </c>
    </row>
    <row r="75" spans="1:8" ht="30" x14ac:dyDescent="0.2">
      <c r="A75" s="2" t="s">
        <v>235</v>
      </c>
      <c r="B75" s="2" t="s">
        <v>240</v>
      </c>
      <c r="C75" s="2" t="s">
        <v>241</v>
      </c>
      <c r="D75" s="3" t="s">
        <v>242</v>
      </c>
      <c r="E75" s="4">
        <v>8</v>
      </c>
      <c r="F75" s="5">
        <v>8</v>
      </c>
      <c r="G75" s="6">
        <f t="shared" si="2"/>
        <v>64</v>
      </c>
      <c r="H75" s="7" t="s">
        <v>243</v>
      </c>
    </row>
    <row r="76" spans="1:8" ht="30" x14ac:dyDescent="0.2">
      <c r="A76" s="2" t="s">
        <v>235</v>
      </c>
      <c r="B76" s="2" t="s">
        <v>244</v>
      </c>
      <c r="C76" s="2" t="s">
        <v>245</v>
      </c>
      <c r="D76" s="2"/>
      <c r="E76" s="4">
        <v>80</v>
      </c>
      <c r="F76" s="5">
        <v>1</v>
      </c>
      <c r="G76" s="6">
        <f t="shared" si="2"/>
        <v>80</v>
      </c>
      <c r="H76" s="7" t="s">
        <v>246</v>
      </c>
    </row>
    <row r="77" spans="1:8" x14ac:dyDescent="0.2">
      <c r="A77" s="2" t="s">
        <v>247</v>
      </c>
      <c r="B77" s="2" t="s">
        <v>248</v>
      </c>
      <c r="C77" s="2" t="s">
        <v>249</v>
      </c>
      <c r="D77" s="2"/>
      <c r="E77" s="4">
        <v>5</v>
      </c>
      <c r="F77" s="5">
        <v>10</v>
      </c>
      <c r="G77" s="6">
        <f t="shared" si="2"/>
        <v>50</v>
      </c>
      <c r="H77" s="7" t="s">
        <v>250</v>
      </c>
    </row>
    <row r="78" spans="1:8" ht="30" x14ac:dyDescent="0.2">
      <c r="A78" s="2" t="s">
        <v>247</v>
      </c>
      <c r="B78" s="2" t="s">
        <v>251</v>
      </c>
      <c r="C78" s="2" t="s">
        <v>252</v>
      </c>
      <c r="D78" s="3" t="s">
        <v>198</v>
      </c>
      <c r="E78" s="4">
        <v>30</v>
      </c>
      <c r="F78" s="5">
        <v>6</v>
      </c>
      <c r="G78" s="6">
        <f t="shared" si="2"/>
        <v>180</v>
      </c>
      <c r="H78" s="7" t="s">
        <v>253</v>
      </c>
    </row>
    <row r="79" spans="1:8" ht="30" x14ac:dyDescent="0.2">
      <c r="A79" s="2" t="s">
        <v>254</v>
      </c>
      <c r="B79" s="2" t="s">
        <v>255</v>
      </c>
      <c r="C79" s="2" t="s">
        <v>256</v>
      </c>
      <c r="D79" s="2"/>
      <c r="E79" s="4">
        <v>150</v>
      </c>
      <c r="F79" s="5">
        <v>1</v>
      </c>
      <c r="G79" s="6">
        <f t="shared" si="2"/>
        <v>150</v>
      </c>
      <c r="H79" s="7" t="s">
        <v>257</v>
      </c>
    </row>
    <row r="80" spans="1:8" ht="30" x14ac:dyDescent="0.2">
      <c r="A80" s="2" t="s">
        <v>254</v>
      </c>
      <c r="B80" s="2" t="s">
        <v>258</v>
      </c>
      <c r="C80" s="2" t="s">
        <v>259</v>
      </c>
      <c r="D80" s="2"/>
      <c r="E80" s="4">
        <v>120</v>
      </c>
      <c r="F80" s="5">
        <v>1</v>
      </c>
      <c r="G80" s="6">
        <f t="shared" si="2"/>
        <v>120</v>
      </c>
      <c r="H80" s="7" t="s">
        <v>260</v>
      </c>
    </row>
    <row r="81" spans="1:8" ht="30" x14ac:dyDescent="0.2">
      <c r="A81" s="2" t="s">
        <v>261</v>
      </c>
      <c r="B81" s="2" t="s">
        <v>262</v>
      </c>
      <c r="C81" s="2" t="s">
        <v>263</v>
      </c>
      <c r="D81" s="3" t="s">
        <v>264</v>
      </c>
      <c r="E81" s="4">
        <v>40</v>
      </c>
      <c r="F81" s="5">
        <v>1</v>
      </c>
      <c r="G81" s="6">
        <f t="shared" si="2"/>
        <v>40</v>
      </c>
      <c r="H81" s="7" t="s">
        <v>265</v>
      </c>
    </row>
    <row r="82" spans="1:8" x14ac:dyDescent="0.2">
      <c r="A82" s="2" t="s">
        <v>261</v>
      </c>
      <c r="B82" s="2" t="s">
        <v>266</v>
      </c>
      <c r="C82" s="2" t="s">
        <v>267</v>
      </c>
      <c r="D82" s="2"/>
      <c r="E82" s="4">
        <v>150</v>
      </c>
      <c r="F82" s="5">
        <v>1</v>
      </c>
      <c r="G82" s="6">
        <f t="shared" si="2"/>
        <v>150</v>
      </c>
      <c r="H82" s="7" t="s">
        <v>268</v>
      </c>
    </row>
    <row r="83" spans="1:8" ht="30" x14ac:dyDescent="0.2">
      <c r="A83" s="2" t="s">
        <v>261</v>
      </c>
      <c r="B83" s="2" t="s">
        <v>269</v>
      </c>
      <c r="C83" s="2" t="s">
        <v>270</v>
      </c>
      <c r="D83" s="2"/>
      <c r="E83" s="4">
        <v>60</v>
      </c>
      <c r="F83" s="5">
        <v>1</v>
      </c>
      <c r="G83" s="6">
        <f t="shared" si="2"/>
        <v>60</v>
      </c>
      <c r="H83" s="7" t="s">
        <v>271</v>
      </c>
    </row>
    <row r="84" spans="1:8" ht="30" x14ac:dyDescent="0.2">
      <c r="A84" s="2" t="s">
        <v>261</v>
      </c>
      <c r="B84" s="2" t="s">
        <v>272</v>
      </c>
      <c r="C84" s="2" t="s">
        <v>273</v>
      </c>
      <c r="D84" s="3" t="s">
        <v>274</v>
      </c>
      <c r="E84" s="4">
        <v>25</v>
      </c>
      <c r="F84" s="5">
        <v>1</v>
      </c>
      <c r="G84" s="6">
        <f t="shared" si="2"/>
        <v>25</v>
      </c>
      <c r="H84" s="7" t="s">
        <v>275</v>
      </c>
    </row>
    <row r="85" spans="1:8" x14ac:dyDescent="0.2">
      <c r="A85" s="2" t="s">
        <v>261</v>
      </c>
      <c r="B85" s="2" t="s">
        <v>276</v>
      </c>
      <c r="C85" s="2" t="s">
        <v>277</v>
      </c>
      <c r="D85" s="2"/>
      <c r="E85" s="4">
        <v>10</v>
      </c>
      <c r="F85" s="5">
        <v>2</v>
      </c>
      <c r="G85" s="6">
        <f t="shared" si="2"/>
        <v>20</v>
      </c>
      <c r="H85" s="7" t="s">
        <v>278</v>
      </c>
    </row>
    <row r="86" spans="1:8" ht="30" x14ac:dyDescent="0.2">
      <c r="A86" s="2" t="s">
        <v>279</v>
      </c>
      <c r="B86" s="2" t="s">
        <v>280</v>
      </c>
      <c r="C86" s="2" t="s">
        <v>281</v>
      </c>
      <c r="D86" s="3" t="s">
        <v>282</v>
      </c>
      <c r="E86" s="4">
        <v>450</v>
      </c>
      <c r="F86" s="5">
        <v>1</v>
      </c>
      <c r="G86" s="6">
        <f t="shared" si="2"/>
        <v>450</v>
      </c>
      <c r="H86" s="7" t="s">
        <v>283</v>
      </c>
    </row>
    <row r="87" spans="1:8" ht="30" x14ac:dyDescent="0.2">
      <c r="A87" s="2" t="s">
        <v>284</v>
      </c>
      <c r="B87" s="2" t="s">
        <v>285</v>
      </c>
      <c r="C87" s="2" t="s">
        <v>286</v>
      </c>
      <c r="D87" s="2"/>
      <c r="E87" s="4">
        <v>300</v>
      </c>
      <c r="F87" s="5">
        <v>1</v>
      </c>
      <c r="G87" s="6">
        <f t="shared" si="2"/>
        <v>300</v>
      </c>
      <c r="H87" s="7" t="s">
        <v>287</v>
      </c>
    </row>
    <row r="88" spans="1:8" ht="30" x14ac:dyDescent="0.2">
      <c r="A88" s="2" t="s">
        <v>284</v>
      </c>
      <c r="B88" s="2" t="s">
        <v>288</v>
      </c>
      <c r="C88" s="2" t="s">
        <v>289</v>
      </c>
      <c r="D88" s="2"/>
      <c r="E88" s="4">
        <v>80</v>
      </c>
      <c r="F88" s="5">
        <v>1</v>
      </c>
      <c r="G88" s="6">
        <f t="shared" si="2"/>
        <v>80</v>
      </c>
      <c r="H88" s="7" t="s">
        <v>290</v>
      </c>
    </row>
    <row r="89" spans="1:8" ht="30" x14ac:dyDescent="0.2">
      <c r="A89" s="2" t="s">
        <v>284</v>
      </c>
      <c r="B89" s="2" t="s">
        <v>291</v>
      </c>
      <c r="C89" s="2" t="s">
        <v>292</v>
      </c>
      <c r="D89" s="2"/>
      <c r="E89" s="4">
        <v>0</v>
      </c>
      <c r="F89" s="5">
        <v>1</v>
      </c>
      <c r="G89" s="6">
        <f t="shared" si="2"/>
        <v>0</v>
      </c>
      <c r="H89" s="7" t="s">
        <v>293</v>
      </c>
    </row>
    <row r="91" spans="1:8" x14ac:dyDescent="0.2">
      <c r="F91" s="8" t="s">
        <v>294</v>
      </c>
      <c r="G91" s="9">
        <f>SUM(G2:G89)</f>
        <v>5933.380000000001</v>
      </c>
    </row>
    <row r="92" spans="1:8" x14ac:dyDescent="0.2">
      <c r="A92" s="10" t="s">
        <v>295</v>
      </c>
      <c r="G92" s="11">
        <v>0.1</v>
      </c>
    </row>
    <row r="93" spans="1:8" x14ac:dyDescent="0.2">
      <c r="A93" s="8" t="s">
        <v>296</v>
      </c>
      <c r="G93" s="9">
        <f>G91*(1+G92)</f>
        <v>6526.7180000000017</v>
      </c>
    </row>
    <row r="94" spans="1:8" x14ac:dyDescent="0.2">
      <c r="A94" s="10" t="s">
        <v>297</v>
      </c>
      <c r="G94" s="12">
        <v>26000</v>
      </c>
    </row>
    <row r="95" spans="1:8" x14ac:dyDescent="0.2">
      <c r="A95" s="10" t="s">
        <v>298</v>
      </c>
      <c r="G95" s="13">
        <f>G94-G93</f>
        <v>19473.281999999999</v>
      </c>
    </row>
    <row r="97" spans="1:8" x14ac:dyDescent="0.2">
      <c r="A97" s="10" t="s">
        <v>299</v>
      </c>
    </row>
    <row r="98" spans="1:8" x14ac:dyDescent="0.2">
      <c r="A98" s="10" t="s">
        <v>300</v>
      </c>
    </row>
    <row r="99" spans="1:8" x14ac:dyDescent="0.2">
      <c r="A99" s="10" t="s">
        <v>301</v>
      </c>
    </row>
    <row r="100" spans="1:8" x14ac:dyDescent="0.2">
      <c r="A100" s="10" t="s">
        <v>302</v>
      </c>
    </row>
    <row r="101" spans="1:8" x14ac:dyDescent="0.2">
      <c r="A101" s="10" t="s">
        <v>303</v>
      </c>
    </row>
    <row r="103" spans="1:8" x14ac:dyDescent="0.2">
      <c r="A103" s="14" t="s">
        <v>304</v>
      </c>
      <c r="B103" s="15"/>
      <c r="C103" s="15"/>
      <c r="D103" s="15"/>
      <c r="E103" s="15"/>
      <c r="F103" s="15"/>
      <c r="G103" s="15"/>
      <c r="H103" s="15"/>
    </row>
    <row r="104" spans="1:8" x14ac:dyDescent="0.2">
      <c r="A104" s="2" t="s">
        <v>261</v>
      </c>
      <c r="B104" s="2" t="s">
        <v>305</v>
      </c>
      <c r="C104" s="2" t="s">
        <v>306</v>
      </c>
      <c r="D104" s="3" t="s">
        <v>242</v>
      </c>
      <c r="E104" s="4">
        <v>10</v>
      </c>
      <c r="F104" s="5">
        <v>2</v>
      </c>
      <c r="G104" s="6">
        <f t="shared" ref="G104:G126" si="3">E104*F104</f>
        <v>20</v>
      </c>
      <c r="H104" s="7" t="s">
        <v>307</v>
      </c>
    </row>
    <row r="105" spans="1:8" ht="30" x14ac:dyDescent="0.2">
      <c r="A105" s="2" t="s">
        <v>261</v>
      </c>
      <c r="B105" s="2" t="s">
        <v>308</v>
      </c>
      <c r="C105" s="2" t="s">
        <v>309</v>
      </c>
      <c r="D105" s="3" t="s">
        <v>310</v>
      </c>
      <c r="E105" s="4">
        <v>40</v>
      </c>
      <c r="F105" s="5">
        <v>1</v>
      </c>
      <c r="G105" s="6">
        <f t="shared" si="3"/>
        <v>40</v>
      </c>
      <c r="H105" s="7" t="s">
        <v>311</v>
      </c>
    </row>
    <row r="106" spans="1:8" ht="30" x14ac:dyDescent="0.2">
      <c r="A106" s="2" t="s">
        <v>261</v>
      </c>
      <c r="B106" s="2" t="s">
        <v>312</v>
      </c>
      <c r="C106" s="2" t="s">
        <v>313</v>
      </c>
      <c r="D106" s="3" t="s">
        <v>314</v>
      </c>
      <c r="E106" s="4">
        <v>150</v>
      </c>
      <c r="F106" s="5">
        <v>1</v>
      </c>
      <c r="G106" s="6">
        <f t="shared" si="3"/>
        <v>150</v>
      </c>
      <c r="H106" s="7" t="s">
        <v>315</v>
      </c>
    </row>
    <row r="107" spans="1:8" x14ac:dyDescent="0.2">
      <c r="A107" s="2" t="s">
        <v>261</v>
      </c>
      <c r="B107" s="2" t="s">
        <v>316</v>
      </c>
      <c r="C107" s="2" t="s">
        <v>317</v>
      </c>
      <c r="D107" s="3" t="s">
        <v>318</v>
      </c>
      <c r="E107" s="4">
        <v>20</v>
      </c>
      <c r="F107" s="5">
        <v>1</v>
      </c>
      <c r="G107" s="6">
        <f t="shared" si="3"/>
        <v>20</v>
      </c>
      <c r="H107" s="7" t="s">
        <v>319</v>
      </c>
    </row>
    <row r="108" spans="1:8" ht="30" x14ac:dyDescent="0.2">
      <c r="A108" s="2" t="s">
        <v>261</v>
      </c>
      <c r="B108" s="2" t="s">
        <v>320</v>
      </c>
      <c r="C108" s="2" t="s">
        <v>321</v>
      </c>
      <c r="D108" s="3" t="s">
        <v>322</v>
      </c>
      <c r="E108" s="4">
        <v>40</v>
      </c>
      <c r="F108" s="5">
        <v>1</v>
      </c>
      <c r="G108" s="6">
        <f t="shared" si="3"/>
        <v>40</v>
      </c>
      <c r="H108" s="7" t="s">
        <v>323</v>
      </c>
    </row>
    <row r="109" spans="1:8" ht="30" x14ac:dyDescent="0.2">
      <c r="A109" s="2" t="s">
        <v>261</v>
      </c>
      <c r="B109" s="2" t="s">
        <v>324</v>
      </c>
      <c r="C109" s="2" t="s">
        <v>325</v>
      </c>
      <c r="D109" s="2"/>
      <c r="E109" s="4">
        <v>20</v>
      </c>
      <c r="F109" s="5">
        <v>2</v>
      </c>
      <c r="G109" s="6">
        <f t="shared" si="3"/>
        <v>40</v>
      </c>
      <c r="H109" s="7" t="s">
        <v>326</v>
      </c>
    </row>
    <row r="110" spans="1:8" ht="30" x14ac:dyDescent="0.2">
      <c r="A110" s="2" t="s">
        <v>327</v>
      </c>
      <c r="B110" s="2" t="s">
        <v>328</v>
      </c>
      <c r="C110" s="2" t="s">
        <v>329</v>
      </c>
      <c r="D110" s="3" t="s">
        <v>330</v>
      </c>
      <c r="E110" s="4">
        <v>40</v>
      </c>
      <c r="F110" s="5">
        <v>2</v>
      </c>
      <c r="G110" s="6">
        <f t="shared" si="3"/>
        <v>80</v>
      </c>
      <c r="H110" s="7" t="s">
        <v>331</v>
      </c>
    </row>
    <row r="111" spans="1:8" ht="30" x14ac:dyDescent="0.2">
      <c r="A111" s="2" t="s">
        <v>279</v>
      </c>
      <c r="B111" s="2" t="s">
        <v>332</v>
      </c>
      <c r="C111" s="2" t="s">
        <v>333</v>
      </c>
      <c r="D111" s="3" t="s">
        <v>330</v>
      </c>
      <c r="E111" s="4">
        <v>20</v>
      </c>
      <c r="F111" s="5">
        <v>1</v>
      </c>
      <c r="G111" s="6">
        <f t="shared" si="3"/>
        <v>20</v>
      </c>
      <c r="H111" s="7" t="s">
        <v>334</v>
      </c>
    </row>
    <row r="112" spans="1:8" ht="30" x14ac:dyDescent="0.2">
      <c r="A112" s="2" t="s">
        <v>284</v>
      </c>
      <c r="B112" s="2" t="s">
        <v>335</v>
      </c>
      <c r="C112" s="2" t="s">
        <v>336</v>
      </c>
      <c r="D112" s="3" t="s">
        <v>337</v>
      </c>
      <c r="E112" s="4">
        <v>110</v>
      </c>
      <c r="F112" s="5">
        <v>1</v>
      </c>
      <c r="G112" s="6">
        <f t="shared" si="3"/>
        <v>110</v>
      </c>
      <c r="H112" s="7" t="s">
        <v>338</v>
      </c>
    </row>
    <row r="113" spans="1:8" ht="30" x14ac:dyDescent="0.2">
      <c r="A113" s="2" t="s">
        <v>339</v>
      </c>
      <c r="B113" s="2" t="s">
        <v>340</v>
      </c>
      <c r="C113" s="2" t="s">
        <v>341</v>
      </c>
      <c r="D113" s="3" t="s">
        <v>342</v>
      </c>
      <c r="E113" s="4">
        <v>750</v>
      </c>
      <c r="F113" s="5">
        <v>1</v>
      </c>
      <c r="G113" s="6">
        <f t="shared" si="3"/>
        <v>750</v>
      </c>
      <c r="H113" s="7" t="s">
        <v>343</v>
      </c>
    </row>
    <row r="114" spans="1:8" ht="30" x14ac:dyDescent="0.2">
      <c r="A114" s="2" t="s">
        <v>339</v>
      </c>
      <c r="B114" s="2" t="s">
        <v>344</v>
      </c>
      <c r="C114" s="2" t="s">
        <v>345</v>
      </c>
      <c r="D114" s="3" t="s">
        <v>346</v>
      </c>
      <c r="E114" s="4">
        <v>400</v>
      </c>
      <c r="F114" s="5">
        <v>1</v>
      </c>
      <c r="G114" s="6">
        <f t="shared" si="3"/>
        <v>400</v>
      </c>
      <c r="H114" s="7" t="s">
        <v>347</v>
      </c>
    </row>
    <row r="115" spans="1:8" x14ac:dyDescent="0.2">
      <c r="A115" s="2" t="s">
        <v>339</v>
      </c>
      <c r="B115" s="2" t="s">
        <v>348</v>
      </c>
      <c r="C115" s="2" t="s">
        <v>349</v>
      </c>
      <c r="D115" s="3" t="s">
        <v>350</v>
      </c>
      <c r="E115" s="4">
        <v>550</v>
      </c>
      <c r="F115" s="5">
        <v>1</v>
      </c>
      <c r="G115" s="6">
        <f t="shared" si="3"/>
        <v>550</v>
      </c>
      <c r="H115" s="7" t="s">
        <v>351</v>
      </c>
    </row>
    <row r="116" spans="1:8" ht="60" x14ac:dyDescent="0.2">
      <c r="A116" s="2" t="s">
        <v>339</v>
      </c>
      <c r="B116" s="2" t="s">
        <v>352</v>
      </c>
      <c r="C116" s="2" t="s">
        <v>353</v>
      </c>
      <c r="D116" s="3" t="s">
        <v>209</v>
      </c>
      <c r="E116" s="4">
        <v>700</v>
      </c>
      <c r="F116" s="5">
        <v>1</v>
      </c>
      <c r="G116" s="6">
        <f t="shared" si="3"/>
        <v>700</v>
      </c>
      <c r="H116" s="7" t="s">
        <v>354</v>
      </c>
    </row>
    <row r="117" spans="1:8" ht="30" x14ac:dyDescent="0.2">
      <c r="A117" s="2" t="s">
        <v>339</v>
      </c>
      <c r="B117" s="2" t="s">
        <v>355</v>
      </c>
      <c r="C117" s="2" t="s">
        <v>356</v>
      </c>
      <c r="D117" s="3" t="s">
        <v>209</v>
      </c>
      <c r="E117" s="4">
        <v>500</v>
      </c>
      <c r="F117" s="5">
        <v>1</v>
      </c>
      <c r="G117" s="6">
        <f t="shared" si="3"/>
        <v>500</v>
      </c>
      <c r="H117" s="7" t="s">
        <v>357</v>
      </c>
    </row>
    <row r="118" spans="1:8" x14ac:dyDescent="0.2">
      <c r="A118" s="2" t="s">
        <v>339</v>
      </c>
      <c r="B118" s="2" t="s">
        <v>358</v>
      </c>
      <c r="C118" s="2" t="s">
        <v>359</v>
      </c>
      <c r="D118" s="3" t="s">
        <v>360</v>
      </c>
      <c r="E118" s="4">
        <v>15</v>
      </c>
      <c r="F118" s="5">
        <v>1</v>
      </c>
      <c r="G118" s="6">
        <f t="shared" si="3"/>
        <v>15</v>
      </c>
      <c r="H118" s="7" t="s">
        <v>361</v>
      </c>
    </row>
    <row r="119" spans="1:8" x14ac:dyDescent="0.2">
      <c r="A119" s="2" t="s">
        <v>339</v>
      </c>
      <c r="B119" s="2" t="s">
        <v>362</v>
      </c>
      <c r="C119" s="2" t="s">
        <v>363</v>
      </c>
      <c r="D119" s="3" t="s">
        <v>364</v>
      </c>
      <c r="E119" s="4">
        <v>15</v>
      </c>
      <c r="F119" s="5">
        <v>4</v>
      </c>
      <c r="G119" s="6">
        <f t="shared" si="3"/>
        <v>60</v>
      </c>
      <c r="H119" s="7" t="s">
        <v>365</v>
      </c>
    </row>
    <row r="120" spans="1:8" ht="30" x14ac:dyDescent="0.2">
      <c r="A120" s="2" t="s">
        <v>339</v>
      </c>
      <c r="B120" s="2" t="s">
        <v>366</v>
      </c>
      <c r="C120" s="2" t="s">
        <v>367</v>
      </c>
      <c r="D120" s="2"/>
      <c r="E120" s="4">
        <v>1500</v>
      </c>
      <c r="F120" s="5">
        <v>1</v>
      </c>
      <c r="G120" s="6">
        <f t="shared" si="3"/>
        <v>1500</v>
      </c>
      <c r="H120" s="7" t="s">
        <v>368</v>
      </c>
    </row>
    <row r="121" spans="1:8" ht="30" x14ac:dyDescent="0.2">
      <c r="A121" s="2" t="s">
        <v>339</v>
      </c>
      <c r="B121" s="2" t="s">
        <v>369</v>
      </c>
      <c r="C121" s="2" t="s">
        <v>370</v>
      </c>
      <c r="D121" s="2"/>
      <c r="E121" s="4">
        <v>350</v>
      </c>
      <c r="F121" s="5">
        <v>1</v>
      </c>
      <c r="G121" s="6">
        <f t="shared" si="3"/>
        <v>350</v>
      </c>
      <c r="H121" s="7" t="s">
        <v>371</v>
      </c>
    </row>
    <row r="122" spans="1:8" ht="30" x14ac:dyDescent="0.2">
      <c r="A122" s="2" t="s">
        <v>339</v>
      </c>
      <c r="B122" s="2" t="s">
        <v>372</v>
      </c>
      <c r="C122" s="2" t="s">
        <v>373</v>
      </c>
      <c r="D122" s="3" t="s">
        <v>198</v>
      </c>
      <c r="E122" s="4">
        <v>50</v>
      </c>
      <c r="F122" s="5">
        <v>1</v>
      </c>
      <c r="G122" s="6">
        <f t="shared" si="3"/>
        <v>50</v>
      </c>
      <c r="H122" s="7" t="s">
        <v>374</v>
      </c>
    </row>
    <row r="123" spans="1:8" ht="30" x14ac:dyDescent="0.2">
      <c r="A123" s="2" t="s">
        <v>339</v>
      </c>
      <c r="B123" s="2" t="s">
        <v>375</v>
      </c>
      <c r="C123" s="2" t="s">
        <v>376</v>
      </c>
      <c r="D123" s="2"/>
      <c r="E123" s="4">
        <v>50</v>
      </c>
      <c r="F123" s="5">
        <v>1</v>
      </c>
      <c r="G123" s="6">
        <f t="shared" si="3"/>
        <v>50</v>
      </c>
      <c r="H123" s="7" t="s">
        <v>377</v>
      </c>
    </row>
    <row r="124" spans="1:8" ht="30" x14ac:dyDescent="0.2">
      <c r="A124" s="2" t="s">
        <v>339</v>
      </c>
      <c r="B124" s="2" t="s">
        <v>378</v>
      </c>
      <c r="C124" s="2" t="s">
        <v>379</v>
      </c>
      <c r="D124" s="2"/>
      <c r="E124" s="4">
        <v>50</v>
      </c>
      <c r="F124" s="5">
        <v>2</v>
      </c>
      <c r="G124" s="6">
        <f t="shared" si="3"/>
        <v>100</v>
      </c>
      <c r="H124" s="7" t="s">
        <v>380</v>
      </c>
    </row>
    <row r="125" spans="1:8" ht="30" x14ac:dyDescent="0.2">
      <c r="A125" s="2" t="s">
        <v>339</v>
      </c>
      <c r="B125" s="2" t="s">
        <v>381</v>
      </c>
      <c r="C125" s="2" t="s">
        <v>382</v>
      </c>
      <c r="D125" s="2"/>
      <c r="E125" s="4">
        <v>3000</v>
      </c>
      <c r="F125" s="5">
        <v>1</v>
      </c>
      <c r="G125" s="6">
        <f t="shared" si="3"/>
        <v>3000</v>
      </c>
      <c r="H125" s="7" t="s">
        <v>383</v>
      </c>
    </row>
    <row r="126" spans="1:8" x14ac:dyDescent="0.2">
      <c r="A126" s="2" t="s">
        <v>339</v>
      </c>
      <c r="B126" s="2" t="s">
        <v>384</v>
      </c>
      <c r="C126" s="2" t="s">
        <v>385</v>
      </c>
      <c r="D126" s="2"/>
      <c r="E126" s="4">
        <v>100</v>
      </c>
      <c r="F126" s="5">
        <v>1</v>
      </c>
      <c r="G126" s="6">
        <f t="shared" si="3"/>
        <v>100</v>
      </c>
      <c r="H126" s="7" t="s">
        <v>386</v>
      </c>
    </row>
    <row r="127" spans="1:8" x14ac:dyDescent="0.2">
      <c r="F127" s="8" t="s">
        <v>387</v>
      </c>
      <c r="G127" s="9">
        <f>SUM(G104:G126)</f>
        <v>8645</v>
      </c>
    </row>
  </sheetData>
  <autoFilter ref="A1:H89" xr:uid="{00000000-0009-0000-0000-000000000000}"/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59" r:id="rId58" xr:uid="{00000000-0004-0000-0000-000039000000}"/>
    <hyperlink ref="D60" r:id="rId59" xr:uid="{00000000-0004-0000-0000-00003A000000}"/>
    <hyperlink ref="D61" r:id="rId60" xr:uid="{00000000-0004-0000-0000-00003B000000}"/>
    <hyperlink ref="D62" r:id="rId61" xr:uid="{00000000-0004-0000-0000-00003C000000}"/>
    <hyperlink ref="D63" r:id="rId62" xr:uid="{00000000-0004-0000-0000-00003D000000}"/>
    <hyperlink ref="D64" r:id="rId63" xr:uid="{00000000-0004-0000-0000-00003E000000}"/>
    <hyperlink ref="D65" r:id="rId64" xr:uid="{00000000-0004-0000-0000-00003F000000}"/>
    <hyperlink ref="D66" r:id="rId65" xr:uid="{00000000-0004-0000-0000-000040000000}"/>
    <hyperlink ref="D67" r:id="rId66" xr:uid="{00000000-0004-0000-0000-000041000000}"/>
    <hyperlink ref="D68" r:id="rId67" xr:uid="{00000000-0004-0000-0000-000042000000}"/>
    <hyperlink ref="D69" r:id="rId68" xr:uid="{00000000-0004-0000-0000-000043000000}"/>
    <hyperlink ref="D70" r:id="rId69" xr:uid="{00000000-0004-0000-0000-000044000000}"/>
    <hyperlink ref="D71" r:id="rId70" xr:uid="{00000000-0004-0000-0000-000045000000}"/>
    <hyperlink ref="D73" r:id="rId71" xr:uid="{00000000-0004-0000-0000-000046000000}"/>
    <hyperlink ref="D74" r:id="rId72" xr:uid="{00000000-0004-0000-0000-000047000000}"/>
    <hyperlink ref="D75" r:id="rId73" xr:uid="{00000000-0004-0000-0000-000048000000}"/>
    <hyperlink ref="D78" r:id="rId74" xr:uid="{00000000-0004-0000-0000-000049000000}"/>
    <hyperlink ref="D81" r:id="rId75" xr:uid="{00000000-0004-0000-0000-00004A000000}"/>
    <hyperlink ref="D84" r:id="rId76" xr:uid="{00000000-0004-0000-0000-00004B000000}"/>
    <hyperlink ref="D86" r:id="rId77" xr:uid="{00000000-0004-0000-0000-00004C000000}"/>
    <hyperlink ref="D104" r:id="rId78" xr:uid="{00000000-0004-0000-0000-00004D000000}"/>
    <hyperlink ref="D105" r:id="rId79" xr:uid="{00000000-0004-0000-0000-00004E000000}"/>
    <hyperlink ref="D106" r:id="rId80" xr:uid="{00000000-0004-0000-0000-00004F000000}"/>
    <hyperlink ref="D107" r:id="rId81" xr:uid="{00000000-0004-0000-0000-000050000000}"/>
    <hyperlink ref="D108" r:id="rId82" xr:uid="{00000000-0004-0000-0000-000051000000}"/>
    <hyperlink ref="D110" r:id="rId83" xr:uid="{00000000-0004-0000-0000-000052000000}"/>
    <hyperlink ref="D111" r:id="rId84" xr:uid="{00000000-0004-0000-0000-000053000000}"/>
    <hyperlink ref="D112" r:id="rId85" xr:uid="{00000000-0004-0000-0000-000054000000}"/>
    <hyperlink ref="D113" r:id="rId86" xr:uid="{00000000-0004-0000-0000-000055000000}"/>
    <hyperlink ref="D114" r:id="rId87" xr:uid="{00000000-0004-0000-0000-000056000000}"/>
    <hyperlink ref="D115" r:id="rId88" xr:uid="{00000000-0004-0000-0000-000057000000}"/>
    <hyperlink ref="D116" r:id="rId89" xr:uid="{00000000-0004-0000-0000-000058000000}"/>
    <hyperlink ref="D117" r:id="rId90" xr:uid="{00000000-0004-0000-0000-000059000000}"/>
    <hyperlink ref="D118" r:id="rId91" xr:uid="{00000000-0004-0000-0000-00005A000000}"/>
    <hyperlink ref="D119" r:id="rId92" xr:uid="{00000000-0004-0000-0000-00005B000000}"/>
    <hyperlink ref="D122" r:id="rId93" xr:uid="{00000000-0004-0000-0000-00005C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Sudnik, William Carlton</cp:lastModifiedBy>
  <dcterms:created xsi:type="dcterms:W3CDTF">2026-10-11T19:30:24Z</dcterms:created>
  <dcterms:modified xsi:type="dcterms:W3CDTF">2026-10-11T19:32:27Z</dcterms:modified>
</cp:coreProperties>
</file>